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<sst xmlns="http://schemas.openxmlformats.org/spreadsheetml/2006/main" count="15" uniqueCount="14">
  <si>
    <t>工况</t>
  </si>
  <si>
    <t>杨氏模量</t>
  </si>
  <si>
    <t>泊松比</t>
  </si>
  <si>
    <t>法向刚度</t>
  </si>
  <si>
    <t>刚度比</t>
  </si>
  <si>
    <t>凝聚力</t>
  </si>
  <si>
    <t>摩擦角</t>
  </si>
  <si>
    <t>抗拉强度</t>
  </si>
  <si>
    <t>单轴抗压强度</t>
  </si>
  <si>
    <t>弹性模量</t>
  </si>
  <si>
    <t>σc</t>
  </si>
  <si>
    <t>m</t>
  </si>
  <si>
    <t>fai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</si>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</sst>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2"/>
  <sheetViews>
    <sheetView tabSelected="1" workbookViewId="0">
      <selection activeCell="A1" sqref="$A1:$XFD33"/>
    </sheetView>
  </sheetViews>
  <sheetFormatPr defaultColWidth="9" defaultRowHeight="13.5"/>
  <cols>
    <col min="1" max="1" width="9" style="1"/>
    <col min="2" max="2" width="11.775" style="2" customWidth="1"/>
    <col min="3" max="3" width="9" style="1"/>
    <col min="4" max="4" width="12.4916666666667" style="1" customWidth="1"/>
    <col min="5" max="5" width="9" style="1"/>
    <col min="6" max="6" width="9.66666666666667" style="1"/>
    <col min="7" max="7" width="9" style="1"/>
    <col min="8" max="8" width="9.75" style="2" customWidth="1"/>
    <col min="10" max="10" width="10.3916666666667" customWidth="1"/>
    <col min="13" max="13" width="12.8916666666667"/>
    <col min="14" max="14" width="11.8083333333333" customWidth="1"/>
    <col min="15" max="15" width="10.375"/>
    <col min="16" max="16" width="13.75"/>
    <col min="18" max="18" width="10.375" customWidth="1"/>
    <col min="19" max="19" width="10.375"/>
  </cols>
  <sheetData>
    <row r="1" s="1" customFormat="1" ht="27" spans="1:19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J1" s="1" t="s">
        <v>8</v>
      </c>
      <c r="K1" s="1" t="s">
        <v>9</v>
      </c>
      <c r="L1" s="1" t="s">
        <v>7</v>
      </c>
      <c r="M1">
        <v>10</v>
      </c>
      <c r="N1">
        <v>15</v>
      </c>
      <c r="O1">
        <v>20</v>
      </c>
      <c r="P1" s="9" t="s">
        <v>10</v>
      </c>
      <c r="Q1" s="10" t="s">
        <v>11</v>
      </c>
      <c r="R1" t="s">
        <v>12</v>
      </c>
      <c r="S1" t="s">
        <v>13</v>
      </c>
    </row>
    <row r="2" spans="1:19">
      <c r="A2" s="5">
        <v>1</v>
      </c>
      <c r="B2" s="6">
        <v>76354868851</v>
      </c>
      <c r="C2" s="7">
        <v>0.25</v>
      </c>
      <c r="D2" s="6">
        <v>534484081957</v>
      </c>
      <c r="E2" s="7">
        <v>0.54</v>
      </c>
      <c r="F2" s="6">
        <v>22243189</v>
      </c>
      <c r="G2" s="8">
        <v>41</v>
      </c>
      <c r="H2" s="6">
        <v>27874020</v>
      </c>
      <c r="J2">
        <v>178</v>
      </c>
      <c r="K2">
        <v>36</v>
      </c>
      <c r="L2">
        <v>11.1</v>
      </c>
      <c r="M2">
        <v>188.3</v>
      </c>
      <c r="N2">
        <v>212.5</v>
      </c>
      <c r="O2">
        <v>229.4</v>
      </c>
      <c r="P2" s="10" cm="1">
        <f t="array" ref="P2">INTERCEPT(M2:O2,M$1:O$1)</f>
        <v>148.416666666667</v>
      </c>
      <c r="Q2" s="10" cm="1">
        <f t="array" ref="Q2">SLOPE(M2:O2,M$1:O$1)</f>
        <v>4.11</v>
      </c>
      <c r="R2" s="11">
        <f>ASIN((Q2-1)/(Q2+1))/3.1415926*180</f>
        <v>37.4891062548732</v>
      </c>
      <c r="S2" s="11">
        <f>P2*(1-SIN(R2/180*3.1415926))/2/COS(R2/180*3.1415926)</f>
        <v>36.6042714062879</v>
      </c>
    </row>
    <row r="3" spans="1:19">
      <c r="A3" s="5">
        <v>2</v>
      </c>
      <c r="B3" s="6">
        <v>34631893169</v>
      </c>
      <c r="C3" s="7">
        <v>0.26</v>
      </c>
      <c r="D3" s="6">
        <v>241873539593.016</v>
      </c>
      <c r="E3" s="7">
        <v>0.28</v>
      </c>
      <c r="F3" s="6">
        <v>23313128</v>
      </c>
      <c r="G3" s="8">
        <v>17</v>
      </c>
      <c r="H3" s="6">
        <v>19513631</v>
      </c>
      <c r="J3">
        <v>87</v>
      </c>
      <c r="K3">
        <v>16.3</v>
      </c>
      <c r="L3">
        <v>7.77</v>
      </c>
      <c r="M3" s="10">
        <v>75.2</v>
      </c>
      <c r="N3" s="10">
        <v>72.8</v>
      </c>
      <c r="O3" s="11">
        <v>68.66</v>
      </c>
      <c r="P3" s="10" cm="1">
        <f t="array" ref="P3">INTERCEPT(M3:O3,M$1:O$1)</f>
        <v>82.03</v>
      </c>
      <c r="Q3" s="10" cm="1">
        <f t="array" ref="Q3">SLOPE(M3:O3,M$1:O$1)</f>
        <v>-0.654000000000001</v>
      </c>
      <c r="R3" s="11" t="e">
        <f>ASIN((Q3-1)/(Q3+1))/3.1415926*180</f>
        <v>#NUM!</v>
      </c>
      <c r="S3" s="11" t="e">
        <f>P3*(1-SIN(R3/180*3.1415926))/2/COS(R3/180*3.1415926)</f>
        <v>#NUM!</v>
      </c>
    </row>
    <row r="4" spans="1:19">
      <c r="A4" s="1">
        <v>3</v>
      </c>
      <c r="B4" s="6">
        <v>7059072702</v>
      </c>
      <c r="C4" s="7">
        <v>0.31</v>
      </c>
      <c r="D4" s="6">
        <v>48766876300.0763</v>
      </c>
      <c r="E4" s="7">
        <v>0.39</v>
      </c>
      <c r="F4" s="6">
        <v>14898645</v>
      </c>
      <c r="G4" s="8">
        <v>57</v>
      </c>
      <c r="H4" s="6">
        <v>21428990</v>
      </c>
      <c r="M4" s="10">
        <v>-20</v>
      </c>
      <c r="N4" s="10">
        <v>-30</v>
      </c>
      <c r="O4" s="11">
        <v>-40</v>
      </c>
      <c r="P4" s="10"/>
      <c r="Q4" s="10"/>
      <c r="R4" s="11"/>
      <c r="S4" s="11"/>
    </row>
    <row r="5" spans="1:19">
      <c r="A5" s="5">
        <v>4</v>
      </c>
      <c r="B5" s="6">
        <v>37571362736</v>
      </c>
      <c r="C5" s="7">
        <v>0.33</v>
      </c>
      <c r="D5" s="6">
        <v>258479675965.714</v>
      </c>
      <c r="E5" s="7">
        <v>0.26</v>
      </c>
      <c r="F5" s="6">
        <v>3563781</v>
      </c>
      <c r="G5" s="8">
        <v>47</v>
      </c>
      <c r="H5" s="6">
        <v>19865870</v>
      </c>
      <c r="J5">
        <v>78.5</v>
      </c>
      <c r="K5">
        <v>16</v>
      </c>
      <c r="L5">
        <v>3.89</v>
      </c>
      <c r="M5" s="10">
        <v>118.5</v>
      </c>
      <c r="N5" s="10">
        <v>140.5</v>
      </c>
      <c r="O5" s="11">
        <v>160</v>
      </c>
      <c r="P5" s="10" cm="1">
        <f t="array" ref="P5">INTERCEPT(M5:O5,M$1:O$1)</f>
        <v>77.4166666666667</v>
      </c>
      <c r="Q5" s="10" cm="1">
        <f t="array" ref="Q5">SLOPE(M5:O5,M$1:O$1)</f>
        <v>4.15</v>
      </c>
      <c r="R5" s="11">
        <f>ASIN((Q5-1)/(Q5+1))/3.1415926*180</f>
        <v>37.7089403652238</v>
      </c>
      <c r="S5" s="11">
        <f>P5*(1-SIN(R5/180*3.1415926))/2/COS(R5/180*3.1415926)</f>
        <v>19.001173517624</v>
      </c>
    </row>
    <row r="6" spans="1:19">
      <c r="A6" s="1">
        <v>5</v>
      </c>
      <c r="B6" s="6">
        <v>41005074699</v>
      </c>
      <c r="C6" s="7">
        <v>0.25</v>
      </c>
      <c r="D6" s="6">
        <v>287035522893</v>
      </c>
      <c r="E6" s="7">
        <v>0.34</v>
      </c>
      <c r="F6" s="6">
        <v>12753145</v>
      </c>
      <c r="G6" s="8">
        <v>21</v>
      </c>
      <c r="H6" s="6">
        <v>6553518</v>
      </c>
      <c r="J6">
        <v>55.7</v>
      </c>
      <c r="K6">
        <v>20</v>
      </c>
      <c r="L6">
        <v>2.34</v>
      </c>
      <c r="M6" s="10">
        <v>46.8</v>
      </c>
      <c r="N6" s="10">
        <v>45.6</v>
      </c>
      <c r="O6" s="11">
        <v>45.8</v>
      </c>
      <c r="P6" s="10" cm="1">
        <f t="array" ref="P6">INTERCEPT(M6:O6,M$1:O$1)</f>
        <v>47.5666666666667</v>
      </c>
      <c r="Q6" s="10" cm="1">
        <f t="array" ref="Q6">SLOPE(M6:O6,M$1:O$1)</f>
        <v>-0.1</v>
      </c>
      <c r="R6" s="11" t="e">
        <f>ASIN((Q6-1)/(Q6+1))/3.1415926*180</f>
        <v>#NUM!</v>
      </c>
      <c r="S6" s="11" t="e">
        <f>P6*(1-SIN(R6/180*3.1415926))/2/COS(R6/180*3.1415926)</f>
        <v>#NUM!</v>
      </c>
    </row>
    <row r="7" spans="1:19">
      <c r="A7" s="5">
        <v>6</v>
      </c>
      <c r="B7" s="6">
        <v>4411087672</v>
      </c>
      <c r="C7" s="7">
        <v>0.26</v>
      </c>
      <c r="D7" s="6">
        <v>30807596439.3651</v>
      </c>
      <c r="E7" s="7">
        <v>0.41</v>
      </c>
      <c r="F7" s="6">
        <v>15192232</v>
      </c>
      <c r="G7" s="8">
        <v>51</v>
      </c>
      <c r="H7" s="6">
        <v>7432952</v>
      </c>
      <c r="M7" s="10">
        <v>-20</v>
      </c>
      <c r="N7" s="10">
        <v>-30</v>
      </c>
      <c r="O7" s="11">
        <v>-40</v>
      </c>
      <c r="P7" s="10"/>
      <c r="Q7" s="10"/>
      <c r="R7" s="11"/>
      <c r="S7" s="11"/>
    </row>
    <row r="8" spans="1:19">
      <c r="A8" s="5">
        <v>7</v>
      </c>
      <c r="B8" s="6">
        <v>40612883042</v>
      </c>
      <c r="C8" s="7">
        <v>0.11</v>
      </c>
      <c r="D8" s="6">
        <v>294534872511.802</v>
      </c>
      <c r="E8" s="7">
        <v>0.16</v>
      </c>
      <c r="F8" s="6">
        <v>45252936</v>
      </c>
      <c r="G8" s="8">
        <v>45</v>
      </c>
      <c r="H8" s="6">
        <v>12281886</v>
      </c>
      <c r="J8">
        <v>265</v>
      </c>
      <c r="K8">
        <v>16.4</v>
      </c>
      <c r="L8">
        <v>7.28</v>
      </c>
      <c r="M8" s="10">
        <v>291.5</v>
      </c>
      <c r="N8" s="10">
        <v>299</v>
      </c>
      <c r="O8" s="11">
        <v>309.6</v>
      </c>
      <c r="P8" s="10" cm="1">
        <f t="array" ref="P8">INTERCEPT(M8:O8,M$1:O$1)</f>
        <v>272.883333333333</v>
      </c>
      <c r="Q8" s="10" cm="1">
        <f t="array" ref="Q8">SLOPE(M8:O8,M$1:O$1)</f>
        <v>1.81</v>
      </c>
      <c r="R8" s="11">
        <f t="shared" ref="R8:R13" si="0">ASIN((Q8-1)/(Q8+1))/3.1415926*180</f>
        <v>16.7535879722036</v>
      </c>
      <c r="S8" s="11">
        <f t="shared" ref="S8:S13" si="1">P8*(1-SIN(R8/180*3.1415926))/2/COS(R8/180*3.1415926)</f>
        <v>101.41629213754</v>
      </c>
    </row>
    <row r="9" spans="1:19">
      <c r="A9" s="1">
        <v>8</v>
      </c>
      <c r="B9" s="6">
        <v>38702252789</v>
      </c>
      <c r="C9" s="7">
        <v>0.36</v>
      </c>
      <c r="D9" s="6">
        <v>264655110983.603</v>
      </c>
      <c r="E9" s="7">
        <v>0.47</v>
      </c>
      <c r="F9" s="6">
        <v>36348104</v>
      </c>
      <c r="G9" s="8">
        <v>37</v>
      </c>
      <c r="H9" s="6">
        <v>21895899</v>
      </c>
      <c r="J9">
        <v>201</v>
      </c>
      <c r="K9">
        <v>19.5</v>
      </c>
      <c r="L9">
        <v>12.75</v>
      </c>
      <c r="M9" s="10">
        <v>212.7</v>
      </c>
      <c r="N9" s="10">
        <v>220</v>
      </c>
      <c r="O9" s="11">
        <v>226</v>
      </c>
      <c r="P9" s="10" cm="1">
        <f t="array" ref="P9">INTERCEPT(M9:O9,M$1:O$1)</f>
        <v>199.616666666667</v>
      </c>
      <c r="Q9" s="10" cm="1">
        <f t="array" ref="Q9">SLOPE(M9:O9,M$1:O$1)</f>
        <v>1.33</v>
      </c>
      <c r="R9" s="11">
        <f t="shared" si="0"/>
        <v>8.14223061543539</v>
      </c>
      <c r="S9" s="11">
        <f t="shared" si="1"/>
        <v>86.5448008749198</v>
      </c>
    </row>
    <row r="10" spans="1:19">
      <c r="A10" s="5">
        <v>9</v>
      </c>
      <c r="B10" s="6">
        <v>21694731992</v>
      </c>
      <c r="C10" s="7">
        <v>0.37</v>
      </c>
      <c r="D10" s="6">
        <v>148062586952.701</v>
      </c>
      <c r="E10" s="7">
        <v>0.38</v>
      </c>
      <c r="F10" s="6">
        <v>24203442</v>
      </c>
      <c r="G10" s="8">
        <v>12</v>
      </c>
      <c r="H10" s="6">
        <v>11259185</v>
      </c>
      <c r="J10">
        <v>76</v>
      </c>
      <c r="K10">
        <v>11.2</v>
      </c>
      <c r="L10">
        <v>5.11</v>
      </c>
      <c r="M10" s="10">
        <v>61.8</v>
      </c>
      <c r="N10" s="10">
        <v>56.3</v>
      </c>
      <c r="O10" s="11">
        <v>51.5</v>
      </c>
      <c r="P10" s="10" cm="1">
        <f t="array" ref="P10">INTERCEPT(M10:O10,M$1:O$1)</f>
        <v>71.9833333333333</v>
      </c>
      <c r="Q10" s="10" cm="1">
        <f t="array" ref="Q10">SLOPE(M10:O10,M$1:O$1)</f>
        <v>-1.03</v>
      </c>
      <c r="R10" s="11" t="e">
        <f t="shared" si="0"/>
        <v>#NUM!</v>
      </c>
      <c r="S10" s="11" t="e">
        <f t="shared" si="1"/>
        <v>#NUM!</v>
      </c>
    </row>
    <row r="11" spans="1:19">
      <c r="A11" s="1">
        <v>10</v>
      </c>
      <c r="B11" s="6">
        <v>53890119857</v>
      </c>
      <c r="C11" s="7">
        <v>0.13</v>
      </c>
      <c r="D11" s="6">
        <v>388676528172.168</v>
      </c>
      <c r="E11" s="7">
        <v>0.58</v>
      </c>
      <c r="F11" s="6">
        <v>28334540</v>
      </c>
      <c r="G11" s="8">
        <v>59</v>
      </c>
      <c r="H11" s="6">
        <v>5347177</v>
      </c>
      <c r="J11">
        <v>322</v>
      </c>
      <c r="K11">
        <v>25</v>
      </c>
      <c r="L11">
        <v>3.3</v>
      </c>
      <c r="M11" s="10">
        <v>36.2</v>
      </c>
      <c r="N11" s="10">
        <v>31.9</v>
      </c>
      <c r="O11" s="10">
        <v>33.4</v>
      </c>
      <c r="P11" s="10" cm="1">
        <f t="array" ref="P11">INTERCEPT(M11:O11,M$1:O$1)</f>
        <v>38.0333333333333</v>
      </c>
      <c r="Q11" s="10" cm="1">
        <f t="array" ref="Q11">SLOPE(M11:O11,M$1:O$1)</f>
        <v>-0.28</v>
      </c>
      <c r="R11" s="11" t="e">
        <f t="shared" si="0"/>
        <v>#NUM!</v>
      </c>
      <c r="S11" s="11" t="e">
        <f t="shared" si="1"/>
        <v>#NUM!</v>
      </c>
    </row>
    <row r="12" spans="1:19">
      <c r="A12" s="5">
        <v>11</v>
      </c>
      <c r="B12" s="6">
        <v>73852409241</v>
      </c>
      <c r="C12" s="7">
        <v>0.22</v>
      </c>
      <c r="D12" s="6">
        <v>520598950387.377</v>
      </c>
      <c r="E12" s="7">
        <v>0.59</v>
      </c>
      <c r="F12" s="6">
        <v>14794003</v>
      </c>
      <c r="G12" s="8">
        <v>52</v>
      </c>
      <c r="H12" s="2">
        <v>9057973</v>
      </c>
      <c r="J12">
        <v>223</v>
      </c>
      <c r="K12" s="12">
        <v>45</v>
      </c>
      <c r="L12">
        <v>5.86</v>
      </c>
      <c r="M12">
        <v>280</v>
      </c>
      <c r="N12" s="10">
        <v>331</v>
      </c>
      <c r="O12" s="11">
        <v>372</v>
      </c>
      <c r="P12" s="10" cm="1">
        <f t="array" ref="P12">INTERCEPT(M12:O12,M$1:O$1)</f>
        <v>189.666666666667</v>
      </c>
      <c r="Q12" s="10" cm="1">
        <f t="array" ref="Q12">SLOPE(M12:O12,M$1:O$1)</f>
        <v>9.2</v>
      </c>
      <c r="R12" s="11">
        <f t="shared" si="0"/>
        <v>53.5062343128932</v>
      </c>
      <c r="S12" s="11">
        <f t="shared" si="1"/>
        <v>31.2656241135169</v>
      </c>
    </row>
    <row r="13" spans="1:19">
      <c r="A13" s="5">
        <v>12</v>
      </c>
      <c r="B13" s="6">
        <v>7739447563</v>
      </c>
      <c r="C13" s="7">
        <v>0.1</v>
      </c>
      <c r="D13" s="6">
        <v>56286891367.2727</v>
      </c>
      <c r="E13" s="7">
        <v>0.59</v>
      </c>
      <c r="F13" s="6">
        <v>14833660</v>
      </c>
      <c r="G13" s="8">
        <v>26</v>
      </c>
      <c r="H13" s="2">
        <v>3499669</v>
      </c>
      <c r="J13">
        <v>59</v>
      </c>
      <c r="K13" s="12">
        <v>4.6</v>
      </c>
      <c r="L13">
        <v>1.92</v>
      </c>
      <c r="M13" s="10">
        <v>56.2</v>
      </c>
      <c r="N13" s="10">
        <v>55.6</v>
      </c>
      <c r="O13" s="11">
        <v>55.6</v>
      </c>
      <c r="P13" s="10" cm="1">
        <f t="array" ref="P13">INTERCEPT(M13:O13,M$1:O$1)</f>
        <v>56.7</v>
      </c>
      <c r="Q13" s="10" cm="1">
        <f t="array" ref="Q13">SLOPE(M13:O13,M$1:O$1)</f>
        <v>-0.0600000000000009</v>
      </c>
      <c r="R13" s="11" t="e">
        <f t="shared" si="0"/>
        <v>#NUM!</v>
      </c>
      <c r="S13" s="11" t="e">
        <f t="shared" si="1"/>
        <v>#NUM!</v>
      </c>
    </row>
    <row r="14" spans="1:19">
      <c r="A14" s="1">
        <v>13</v>
      </c>
      <c r="B14" s="6">
        <v>8028059174</v>
      </c>
      <c r="C14" s="7">
        <v>0.14</v>
      </c>
      <c r="D14" s="6">
        <v>57745688795.4386</v>
      </c>
      <c r="E14" s="7">
        <v>0.12</v>
      </c>
      <c r="F14" s="6">
        <v>13149384</v>
      </c>
      <c r="G14" s="8">
        <v>30</v>
      </c>
      <c r="H14" s="2">
        <v>13237429</v>
      </c>
      <c r="J14">
        <v>56</v>
      </c>
      <c r="K14" s="12">
        <v>3.45</v>
      </c>
      <c r="L14">
        <v>4.96</v>
      </c>
      <c r="M14">
        <v>58.9</v>
      </c>
      <c r="N14">
        <v>57.2</v>
      </c>
      <c r="O14" s="10">
        <v>58.4</v>
      </c>
      <c r="P14" s="10" cm="1">
        <f t="array" ref="P14">INTERCEPT(M14:O14,M$1:O$1)</f>
        <v>58.9166666666667</v>
      </c>
      <c r="Q14" s="10" cm="1">
        <f t="array" ref="Q14">SLOPE(M14:O14,M$1:O$1)</f>
        <v>-0.05</v>
      </c>
      <c r="R14" s="11" t="e">
        <f t="shared" ref="R14:R45" si="2">ASIN((Q14-1)/(Q14+1))/3.1415926*180</f>
        <v>#NUM!</v>
      </c>
      <c r="S14" s="11" t="e">
        <f t="shared" ref="S14:S45" si="3">P14*(1-SIN(R14/180*3.1415926))/2/COS(R14/180*3.1415926)</f>
        <v>#NUM!</v>
      </c>
    </row>
    <row r="15" spans="1:19">
      <c r="A15" s="5">
        <v>14</v>
      </c>
      <c r="B15" s="6">
        <v>60858692693</v>
      </c>
      <c r="C15" s="7">
        <v>0.22</v>
      </c>
      <c r="D15" s="6">
        <v>429003899311.312</v>
      </c>
      <c r="E15" s="7">
        <v>0.37</v>
      </c>
      <c r="F15" s="6">
        <v>36979839</v>
      </c>
      <c r="G15" s="8">
        <v>36</v>
      </c>
      <c r="H15" s="2">
        <v>5037630</v>
      </c>
      <c r="J15">
        <v>186</v>
      </c>
      <c r="K15" s="12">
        <v>30.5</v>
      </c>
      <c r="L15">
        <v>2.93</v>
      </c>
      <c r="M15" s="10">
        <v>206.7</v>
      </c>
      <c r="N15" s="10">
        <v>219.8</v>
      </c>
      <c r="O15" s="11">
        <v>230</v>
      </c>
      <c r="P15" s="10" cm="1">
        <f t="array" ref="P15">INTERCEPT(M15:O15,M$1:O$1)</f>
        <v>183.883333333333</v>
      </c>
      <c r="Q15" s="10" cm="1">
        <f t="array" ref="Q15">SLOPE(M15:O15,M$1:O$1)</f>
        <v>2.33</v>
      </c>
      <c r="R15" s="11">
        <f t="shared" si="2"/>
        <v>23.5406378058743</v>
      </c>
      <c r="S15" s="11">
        <f t="shared" si="3"/>
        <v>60.2329885141105</v>
      </c>
    </row>
    <row r="16" spans="1:19">
      <c r="A16" s="1">
        <v>15</v>
      </c>
      <c r="B16" s="6">
        <v>9569678067</v>
      </c>
      <c r="C16" s="7">
        <v>0.25</v>
      </c>
      <c r="D16" s="6">
        <v>66987746469</v>
      </c>
      <c r="E16" s="7">
        <v>0.58</v>
      </c>
      <c r="F16" s="6">
        <v>39609960</v>
      </c>
      <c r="G16" s="8">
        <v>59</v>
      </c>
      <c r="H16" s="2">
        <v>3770719</v>
      </c>
      <c r="K16" s="12"/>
      <c r="L16"/>
      <c r="M16" s="10">
        <v>-20</v>
      </c>
      <c r="N16" s="10">
        <v>-30</v>
      </c>
      <c r="O16" s="11">
        <v>-40</v>
      </c>
      <c r="P16" s="10"/>
      <c r="Q16" s="10"/>
      <c r="R16" s="11"/>
      <c r="S16" s="11"/>
    </row>
    <row r="17" spans="1:19">
      <c r="A17" s="5">
        <v>16</v>
      </c>
      <c r="B17" s="6">
        <v>46117826196</v>
      </c>
      <c r="C17" s="7">
        <v>0.13</v>
      </c>
      <c r="D17" s="6">
        <v>332619719909.204</v>
      </c>
      <c r="E17" s="7">
        <v>0.47</v>
      </c>
      <c r="F17" s="6">
        <v>19364516</v>
      </c>
      <c r="G17" s="8">
        <v>40</v>
      </c>
      <c r="H17" s="2">
        <v>11781623</v>
      </c>
      <c r="J17">
        <v>125</v>
      </c>
      <c r="K17" s="12">
        <v>28</v>
      </c>
      <c r="L17">
        <v>6.3</v>
      </c>
      <c r="M17" s="10">
        <v>152</v>
      </c>
      <c r="N17" s="10">
        <v>166</v>
      </c>
      <c r="O17" s="11">
        <v>179</v>
      </c>
      <c r="P17" s="10" cm="1">
        <f t="array" ref="P17">INTERCEPT(M17:O17,M$1:O$1)</f>
        <v>125.166666666667</v>
      </c>
      <c r="Q17" s="10" cm="1">
        <f t="array" ref="Q17">SLOPE(M17:O17,M$1:O$1)</f>
        <v>2.7</v>
      </c>
      <c r="R17" s="11">
        <f t="shared" si="2"/>
        <v>27.3522333757074</v>
      </c>
      <c r="S17" s="11">
        <f t="shared" si="3"/>
        <v>38.0870037672574</v>
      </c>
    </row>
    <row r="18" spans="1:19">
      <c r="A18" s="5">
        <v>17</v>
      </c>
      <c r="B18" s="6">
        <v>5190812133</v>
      </c>
      <c r="C18" s="7">
        <v>0.36</v>
      </c>
      <c r="D18" s="6">
        <v>35495994733.0147</v>
      </c>
      <c r="E18" s="7">
        <v>0.29</v>
      </c>
      <c r="F18" s="6">
        <v>7471565</v>
      </c>
      <c r="G18" s="8">
        <v>14</v>
      </c>
      <c r="H18" s="2">
        <v>15284026</v>
      </c>
      <c r="J18">
        <v>25</v>
      </c>
      <c r="K18" s="12">
        <v>2.9</v>
      </c>
      <c r="L18">
        <v>3.7</v>
      </c>
      <c r="M18" s="10">
        <v>14.9</v>
      </c>
      <c r="N18" s="10">
        <v>10.5</v>
      </c>
      <c r="O18" s="11">
        <v>5.9</v>
      </c>
      <c r="P18" s="10" cm="1">
        <f t="array" ref="P18">INTERCEPT(M18:O18,M$1:O$1)</f>
        <v>23.9333333333333</v>
      </c>
      <c r="Q18" s="10" cm="1">
        <f t="array" ref="Q18">SLOPE(M18:O18,M$1:O$1)</f>
        <v>-0.9</v>
      </c>
      <c r="R18" s="11" t="e">
        <f t="shared" si="2"/>
        <v>#NUM!</v>
      </c>
      <c r="S18" s="11" t="e">
        <f t="shared" si="3"/>
        <v>#NUM!</v>
      </c>
    </row>
    <row r="19" spans="1:19">
      <c r="A19" s="1">
        <v>18</v>
      </c>
      <c r="B19" s="6">
        <v>6549687716</v>
      </c>
      <c r="C19" s="7">
        <v>0.29</v>
      </c>
      <c r="D19" s="6">
        <v>45441631828.062</v>
      </c>
      <c r="E19" s="7">
        <v>0.17</v>
      </c>
      <c r="F19" s="6">
        <v>22911664</v>
      </c>
      <c r="G19" s="8">
        <v>27</v>
      </c>
      <c r="H19" s="2">
        <v>18541880</v>
      </c>
      <c r="J19">
        <v>73</v>
      </c>
      <c r="K19" s="12">
        <v>3</v>
      </c>
      <c r="L19"/>
      <c r="M19">
        <v>-20</v>
      </c>
      <c r="N19" s="10">
        <v>83.8</v>
      </c>
      <c r="O19" s="10">
        <v>82</v>
      </c>
      <c r="P19" s="10" cm="1">
        <f t="array" ref="P19">INTERCEPT(M19:O19,M$1:O$1)</f>
        <v>-104.4</v>
      </c>
      <c r="Q19" s="10" cm="1">
        <f t="array" ref="Q19">SLOPE(M19:O19,M$1:O$1)</f>
        <v>10.2</v>
      </c>
      <c r="R19" s="11">
        <f t="shared" si="2"/>
        <v>55.2280569101405</v>
      </c>
      <c r="S19" s="11">
        <f t="shared" si="3"/>
        <v>-16.3444539973224</v>
      </c>
    </row>
    <row r="20" spans="1:19">
      <c r="A20" s="5">
        <v>19</v>
      </c>
      <c r="B20" s="6">
        <v>21604295983</v>
      </c>
      <c r="C20" s="7">
        <v>0.16</v>
      </c>
      <c r="D20" s="6">
        <v>154582462636.983</v>
      </c>
      <c r="E20" s="7">
        <v>0.44</v>
      </c>
      <c r="F20" s="6">
        <v>33198964</v>
      </c>
      <c r="G20" s="8">
        <v>55</v>
      </c>
      <c r="H20" s="2">
        <v>21784398</v>
      </c>
      <c r="K20" s="12"/>
      <c r="L20"/>
      <c r="M20" s="10">
        <v>-20</v>
      </c>
      <c r="N20" s="10">
        <v>-30</v>
      </c>
      <c r="O20" s="11">
        <v>-40</v>
      </c>
      <c r="P20" s="10"/>
      <c r="Q20" s="10"/>
      <c r="R20" s="11"/>
      <c r="S20" s="11"/>
    </row>
    <row r="21" spans="1:19">
      <c r="A21" s="1">
        <v>20</v>
      </c>
      <c r="B21" s="6">
        <v>17012319939</v>
      </c>
      <c r="C21" s="7">
        <v>0.17</v>
      </c>
      <c r="D21" s="6">
        <v>121412710675.769</v>
      </c>
      <c r="E21" s="7">
        <v>0.53</v>
      </c>
      <c r="F21" s="6">
        <v>7677994</v>
      </c>
      <c r="G21" s="8">
        <v>11</v>
      </c>
      <c r="H21" s="2">
        <v>7026419</v>
      </c>
      <c r="J21">
        <v>31</v>
      </c>
      <c r="K21" s="12">
        <v>15</v>
      </c>
      <c r="L21">
        <v>2.41</v>
      </c>
      <c r="M21" s="10">
        <v>15</v>
      </c>
      <c r="N21" s="10">
        <v>10.5</v>
      </c>
      <c r="O21" s="11">
        <v>6</v>
      </c>
      <c r="P21" s="10" cm="1">
        <f t="array" ref="P21">INTERCEPT(M21:O21,M$1:O$1)</f>
        <v>24</v>
      </c>
      <c r="Q21" s="10" cm="1">
        <f t="array" ref="Q21">SLOPE(M21:O21,M$1:O$1)</f>
        <v>-0.9</v>
      </c>
      <c r="R21" s="11" t="e">
        <f t="shared" si="2"/>
        <v>#NUM!</v>
      </c>
      <c r="S21" s="11" t="e">
        <f t="shared" si="3"/>
        <v>#NUM!</v>
      </c>
    </row>
    <row r="22" spans="1:19">
      <c r="A22" s="5">
        <v>21</v>
      </c>
      <c r="B22" s="6">
        <v>65865636712</v>
      </c>
      <c r="C22" s="7">
        <v>0.36</v>
      </c>
      <c r="D22" s="6">
        <v>450404721633.529</v>
      </c>
      <c r="E22" s="7">
        <v>0.27</v>
      </c>
      <c r="F22" s="6">
        <v>16286698</v>
      </c>
      <c r="G22" s="8">
        <v>26</v>
      </c>
      <c r="H22" s="2">
        <v>14549371</v>
      </c>
      <c r="J22">
        <v>80</v>
      </c>
      <c r="K22" s="12">
        <v>37</v>
      </c>
      <c r="L22">
        <v>6.63</v>
      </c>
      <c r="M22" s="10">
        <v>79</v>
      </c>
      <c r="N22" s="10">
        <v>83.5</v>
      </c>
      <c r="O22" s="11">
        <v>86.5</v>
      </c>
      <c r="P22" s="10" cm="1">
        <f t="array" ref="P22">INTERCEPT(M22:O22,M$1:O$1)</f>
        <v>71.75</v>
      </c>
      <c r="Q22" s="10" cm="1">
        <f t="array" ref="Q22">SLOPE(M22:O22,M$1:O$1)</f>
        <v>0.75</v>
      </c>
      <c r="R22" s="11">
        <f t="shared" si="2"/>
        <v>-8.21321084184046</v>
      </c>
      <c r="S22" s="11">
        <f t="shared" si="3"/>
        <v>41.4248818143557</v>
      </c>
    </row>
    <row r="23" spans="1:19">
      <c r="A23" s="5">
        <v>22</v>
      </c>
      <c r="B23" s="6">
        <v>33918394688</v>
      </c>
      <c r="C23" s="7">
        <v>0.37</v>
      </c>
      <c r="D23" s="6">
        <v>231486854257.518</v>
      </c>
      <c r="E23" s="7">
        <v>0.39</v>
      </c>
      <c r="F23" s="6">
        <v>11053245</v>
      </c>
      <c r="G23" s="8">
        <v>31</v>
      </c>
      <c r="H23" s="2">
        <v>17694223</v>
      </c>
      <c r="J23">
        <v>71</v>
      </c>
      <c r="K23" s="12">
        <v>19.5</v>
      </c>
      <c r="L23">
        <v>6.57</v>
      </c>
      <c r="M23" s="10">
        <v>71.8</v>
      </c>
      <c r="N23" s="10">
        <v>75.2</v>
      </c>
      <c r="O23" s="11">
        <v>78.5</v>
      </c>
      <c r="P23" s="10" cm="1">
        <f t="array" ref="P23">INTERCEPT(M23:O23,M$1:O$1)</f>
        <v>65.1166666666667</v>
      </c>
      <c r="Q23" s="10" cm="1">
        <f t="array" ref="Q23">SLOPE(M23:O23,M$1:O$1)</f>
        <v>0.67</v>
      </c>
      <c r="R23" s="11">
        <f t="shared" si="2"/>
        <v>-11.3969287232438</v>
      </c>
      <c r="S23" s="11">
        <f t="shared" si="3"/>
        <v>39.776334925007</v>
      </c>
    </row>
    <row r="24" spans="1:19">
      <c r="A24" s="1">
        <v>23</v>
      </c>
      <c r="B24" s="6">
        <v>68758557756</v>
      </c>
      <c r="C24" s="7">
        <v>0.23</v>
      </c>
      <c r="D24" s="6">
        <v>483545954950.732</v>
      </c>
      <c r="E24" s="7">
        <v>0.46</v>
      </c>
      <c r="F24" s="6">
        <v>4379989</v>
      </c>
      <c r="G24" s="8">
        <v>36</v>
      </c>
      <c r="H24" s="2">
        <v>3439222</v>
      </c>
      <c r="J24">
        <v>54</v>
      </c>
      <c r="K24" s="12">
        <v>50</v>
      </c>
      <c r="L24">
        <v>1.33</v>
      </c>
      <c r="M24" s="10">
        <v>62.8</v>
      </c>
      <c r="N24" s="10">
        <v>74.4</v>
      </c>
      <c r="O24" s="11">
        <v>87.5</v>
      </c>
      <c r="P24" s="10" cm="1">
        <f t="array" ref="P24">INTERCEPT(M24:O24,M$1:O$1)</f>
        <v>37.85</v>
      </c>
      <c r="Q24" s="10" cm="1">
        <f t="array" ref="Q24">SLOPE(M24:O24,M$1:O$1)</f>
        <v>2.47</v>
      </c>
      <c r="R24" s="11">
        <f t="shared" si="2"/>
        <v>25.0640491648622</v>
      </c>
      <c r="S24" s="11">
        <f t="shared" si="3"/>
        <v>12.0416891393166</v>
      </c>
    </row>
    <row r="25" spans="1:19">
      <c r="A25" s="5">
        <v>24</v>
      </c>
      <c r="B25" s="6">
        <v>65033667002</v>
      </c>
      <c r="C25" s="7">
        <v>0.19</v>
      </c>
      <c r="D25" s="6">
        <v>461793685854.538</v>
      </c>
      <c r="E25" s="7">
        <v>0.32</v>
      </c>
      <c r="F25" s="6">
        <v>42424686</v>
      </c>
      <c r="G25" s="8">
        <v>10</v>
      </c>
      <c r="H25" s="2">
        <v>21748042</v>
      </c>
      <c r="J25">
        <v>130</v>
      </c>
      <c r="K25" s="12">
        <v>33</v>
      </c>
      <c r="L25">
        <v>9.07</v>
      </c>
      <c r="M25" s="10">
        <v>112.3</v>
      </c>
      <c r="N25" s="10">
        <v>109.5</v>
      </c>
      <c r="O25" s="11">
        <v>102.6</v>
      </c>
      <c r="P25" s="10" cm="1">
        <f t="array" ref="P25">INTERCEPT(M25:O25,M$1:O$1)</f>
        <v>122.683333333333</v>
      </c>
      <c r="Q25" s="10" cm="1">
        <f t="array" ref="Q25">SLOPE(M25:O25,M$1:O$1)</f>
        <v>-0.970000000000002</v>
      </c>
      <c r="R25" s="11" t="e">
        <f t="shared" si="2"/>
        <v>#NUM!</v>
      </c>
      <c r="S25" s="11" t="e">
        <f t="shared" si="3"/>
        <v>#NUM!</v>
      </c>
    </row>
    <row r="26" spans="1:19">
      <c r="A26" s="1">
        <v>25</v>
      </c>
      <c r="B26" s="6">
        <v>31114875397</v>
      </c>
      <c r="C26" s="7">
        <v>0.34</v>
      </c>
      <c r="D26" s="6">
        <v>213624517651.045</v>
      </c>
      <c r="E26" s="7">
        <v>0.13</v>
      </c>
      <c r="F26" s="6">
        <v>14035952</v>
      </c>
      <c r="G26" s="8">
        <v>35</v>
      </c>
      <c r="H26" s="2">
        <v>21046451</v>
      </c>
      <c r="J26">
        <v>86</v>
      </c>
      <c r="K26" s="12">
        <v>15</v>
      </c>
      <c r="L26">
        <v>7.88</v>
      </c>
      <c r="M26" s="10">
        <v>96.2</v>
      </c>
      <c r="N26" s="10">
        <v>101.9</v>
      </c>
      <c r="O26" s="11">
        <v>106</v>
      </c>
      <c r="P26" s="10" cm="1">
        <f t="array" ref="P26">INTERCEPT(M26:O26,M$1:O$1)</f>
        <v>86.6666666666667</v>
      </c>
      <c r="Q26" s="10" cm="1">
        <f t="array" ref="Q26">SLOPE(M26:O26,M$1:O$1)</f>
        <v>0.98</v>
      </c>
      <c r="R26" s="11">
        <f t="shared" si="2"/>
        <v>-0.578755099533298</v>
      </c>
      <c r="S26" s="11">
        <f t="shared" si="3"/>
        <v>43.7732769305958</v>
      </c>
    </row>
    <row r="27" spans="1:19">
      <c r="A27" s="5">
        <v>26</v>
      </c>
      <c r="B27" s="6">
        <v>32837235985</v>
      </c>
      <c r="C27" s="7">
        <v>0.39</v>
      </c>
      <c r="D27" s="6">
        <v>223245956876.439</v>
      </c>
      <c r="E27" s="7">
        <v>0.5</v>
      </c>
      <c r="F27" s="6">
        <v>19727698</v>
      </c>
      <c r="G27" s="8">
        <v>45</v>
      </c>
      <c r="H27" s="2">
        <v>5948306</v>
      </c>
      <c r="J27">
        <v>138</v>
      </c>
      <c r="K27" s="12">
        <v>16</v>
      </c>
      <c r="L27">
        <v>3.77</v>
      </c>
      <c r="M27" s="10">
        <v>177.6</v>
      </c>
      <c r="N27" s="10">
        <v>197.9</v>
      </c>
      <c r="O27" s="11">
        <v>216</v>
      </c>
      <c r="P27" s="10" cm="1">
        <f t="array" ref="P27">INTERCEPT(M27:O27,M$1:O$1)</f>
        <v>139.566666666667</v>
      </c>
      <c r="Q27" s="10" cm="1">
        <f t="array" ref="Q27">SLOPE(M27:O27,M$1:O$1)</f>
        <v>3.84</v>
      </c>
      <c r="R27" s="11">
        <f t="shared" si="2"/>
        <v>35.9286170340516</v>
      </c>
      <c r="S27" s="11">
        <f t="shared" si="3"/>
        <v>35.611158170254</v>
      </c>
    </row>
    <row r="28" spans="1:19">
      <c r="A28" s="5">
        <v>27</v>
      </c>
      <c r="B28" s="6">
        <v>41579815997</v>
      </c>
      <c r="C28" s="7">
        <v>0.38</v>
      </c>
      <c r="D28" s="6">
        <v>283224833602.754</v>
      </c>
      <c r="E28" s="7">
        <v>0.5</v>
      </c>
      <c r="F28" s="6">
        <v>46817073</v>
      </c>
      <c r="G28" s="8">
        <v>30</v>
      </c>
      <c r="H28" s="2">
        <v>20717562</v>
      </c>
      <c r="J28">
        <v>210</v>
      </c>
      <c r="K28" s="12">
        <v>23</v>
      </c>
      <c r="L28">
        <v>12.16</v>
      </c>
      <c r="M28" s="10">
        <v>210.2</v>
      </c>
      <c r="N28" s="10">
        <v>212.5</v>
      </c>
      <c r="O28" s="11">
        <v>215.7</v>
      </c>
      <c r="P28" s="10" cm="1">
        <f t="array" ref="P28">INTERCEPT(M28:O28,M$1:O$1)</f>
        <v>204.55</v>
      </c>
      <c r="Q28" s="10" cm="1">
        <f t="array" ref="Q28">SLOPE(M28:O28,M$1:O$1)</f>
        <v>0.55</v>
      </c>
      <c r="R28" s="11">
        <f t="shared" si="2"/>
        <v>-16.8772697265244</v>
      </c>
      <c r="S28" s="11">
        <f t="shared" si="3"/>
        <v>137.907581866856</v>
      </c>
    </row>
    <row r="29" spans="1:19">
      <c r="A29" s="1">
        <v>28</v>
      </c>
      <c r="B29" s="6">
        <v>38341340547</v>
      </c>
      <c r="C29" s="7">
        <v>0.31</v>
      </c>
      <c r="D29" s="6">
        <v>264877199962.099</v>
      </c>
      <c r="E29" s="7">
        <v>0.1</v>
      </c>
      <c r="F29" s="6">
        <v>15820368</v>
      </c>
      <c r="G29" s="8">
        <v>53</v>
      </c>
      <c r="H29" s="2">
        <v>27812067</v>
      </c>
      <c r="J29">
        <v>160</v>
      </c>
      <c r="K29" s="12">
        <v>17</v>
      </c>
      <c r="L29">
        <v>9.18</v>
      </c>
      <c r="M29" s="10">
        <v>193.6</v>
      </c>
      <c r="N29" s="10">
        <v>209.8</v>
      </c>
      <c r="O29" s="11">
        <v>233.5</v>
      </c>
      <c r="P29" s="10" cm="1">
        <f t="array" ref="P29">INTERCEPT(M29:O29,M$1:O$1)</f>
        <v>152.45</v>
      </c>
      <c r="Q29" s="10" cm="1">
        <f t="array" ref="Q29">SLOPE(M29:O29,M$1:O$1)</f>
        <v>3.99</v>
      </c>
      <c r="R29" s="11">
        <f t="shared" si="2"/>
        <v>36.8125092194158</v>
      </c>
      <c r="S29" s="11">
        <f t="shared" si="3"/>
        <v>38.1602301376761</v>
      </c>
    </row>
    <row r="30" spans="1:19">
      <c r="A30" s="5">
        <v>29</v>
      </c>
      <c r="B30" s="6">
        <v>20649921171</v>
      </c>
      <c r="C30" s="7">
        <v>0.12</v>
      </c>
      <c r="D30" s="6">
        <v>149343179897.411</v>
      </c>
      <c r="E30" s="7">
        <v>0.1</v>
      </c>
      <c r="F30" s="6">
        <v>21330476</v>
      </c>
      <c r="G30" s="8">
        <v>32</v>
      </c>
      <c r="H30" s="2">
        <v>26418222</v>
      </c>
      <c r="J30">
        <v>128</v>
      </c>
      <c r="K30" s="12">
        <v>8.3</v>
      </c>
      <c r="L30">
        <v>11.28</v>
      </c>
      <c r="M30" s="10">
        <v>104.5</v>
      </c>
      <c r="N30" s="10">
        <v>105</v>
      </c>
      <c r="O30" s="11">
        <v>108.2</v>
      </c>
      <c r="P30" s="10" cm="1">
        <f t="array" ref="P30">INTERCEPT(M30:O30,M$1:O$1)</f>
        <v>100.35</v>
      </c>
      <c r="Q30" s="10" cm="1">
        <f t="array" ref="Q30">SLOPE(M30:O30,M$1:O$1)</f>
        <v>0.369999999999999</v>
      </c>
      <c r="R30" s="11">
        <f t="shared" si="2"/>
        <v>-27.377688200502</v>
      </c>
      <c r="S30" s="11">
        <f t="shared" si="3"/>
        <v>82.4871918804632</v>
      </c>
    </row>
    <row r="31" spans="1:19">
      <c r="A31" s="1">
        <v>30</v>
      </c>
      <c r="B31" s="6">
        <v>62465573226</v>
      </c>
      <c r="C31" s="7">
        <v>0.26</v>
      </c>
      <c r="D31" s="6">
        <v>436267495546.667</v>
      </c>
      <c r="E31" s="7">
        <v>0.22</v>
      </c>
      <c r="F31" s="6">
        <v>6690356</v>
      </c>
      <c r="G31" s="8">
        <v>25</v>
      </c>
      <c r="H31" s="2">
        <v>2728793</v>
      </c>
      <c r="J31">
        <v>40</v>
      </c>
      <c r="K31" s="12">
        <v>44</v>
      </c>
      <c r="L31">
        <v>1.15</v>
      </c>
      <c r="M31" s="10">
        <v>34.8</v>
      </c>
      <c r="N31" s="10">
        <v>39</v>
      </c>
      <c r="O31" s="11">
        <v>41</v>
      </c>
      <c r="P31" s="10" cm="1">
        <f t="array" ref="P31">INTERCEPT(M31:O31,M$1:O$1)</f>
        <v>28.9666666666667</v>
      </c>
      <c r="Q31" s="10" cm="1">
        <f t="array" ref="Q31">SLOPE(M31:O31,M$1:O$1)</f>
        <v>0.62</v>
      </c>
      <c r="R31" s="11">
        <f t="shared" si="2"/>
        <v>-13.5661536390904</v>
      </c>
      <c r="S31" s="11">
        <f t="shared" si="3"/>
        <v>18.3938517271942</v>
      </c>
    </row>
    <row r="32" spans="1:19">
      <c r="A32" s="5">
        <v>31</v>
      </c>
      <c r="B32" s="6">
        <v>35836295571</v>
      </c>
      <c r="C32" s="7">
        <v>0.28</v>
      </c>
      <c r="D32" s="6">
        <v>249174242642.109</v>
      </c>
      <c r="E32" s="7">
        <v>0.23</v>
      </c>
      <c r="F32" s="6">
        <v>22228266</v>
      </c>
      <c r="G32" s="8">
        <v>18</v>
      </c>
      <c r="H32" s="2">
        <v>19810039</v>
      </c>
      <c r="J32">
        <v>87</v>
      </c>
      <c r="K32" s="12">
        <v>18</v>
      </c>
      <c r="L32">
        <v>7.6</v>
      </c>
      <c r="M32" s="10">
        <v>75.7</v>
      </c>
      <c r="N32" s="10">
        <v>71.8</v>
      </c>
      <c r="O32" s="11">
        <v>70</v>
      </c>
      <c r="P32" s="10" cm="1">
        <f t="array" ref="P32">INTERCEPT(M32:O32,M$1:O$1)</f>
        <v>81.05</v>
      </c>
      <c r="Q32" s="10" cm="1">
        <f t="array" ref="Q32">SLOPE(M32:O32,M$1:O$1)</f>
        <v>-0.57</v>
      </c>
      <c r="R32" s="11" t="e">
        <f t="shared" si="2"/>
        <v>#NUM!</v>
      </c>
      <c r="S32" s="11" t="e">
        <f t="shared" si="3"/>
        <v>#NUM!</v>
      </c>
    </row>
    <row r="33" spans="1:19">
      <c r="A33" s="5">
        <v>32</v>
      </c>
      <c r="B33" s="6">
        <v>78875100793</v>
      </c>
      <c r="C33" s="7">
        <v>0.12</v>
      </c>
      <c r="D33" s="6">
        <v>570435996806.518</v>
      </c>
      <c r="E33" s="7">
        <v>0.31</v>
      </c>
      <c r="F33" s="6">
        <v>39511258</v>
      </c>
      <c r="G33" s="8">
        <v>44</v>
      </c>
      <c r="H33" s="2">
        <v>9749850</v>
      </c>
      <c r="J33">
        <v>252</v>
      </c>
      <c r="K33" s="12">
        <v>38</v>
      </c>
      <c r="L33">
        <v>5.16</v>
      </c>
      <c r="M33" s="10">
        <v>297.3</v>
      </c>
      <c r="N33" s="10">
        <v>317.67</v>
      </c>
      <c r="O33" s="11">
        <v>341.8</v>
      </c>
      <c r="P33" s="10" cm="1">
        <f t="array" ref="P33">INTERCEPT(M33:O33,M$1:O$1)</f>
        <v>252.173333333333</v>
      </c>
      <c r="Q33" s="10" cm="1">
        <f t="array" ref="Q33">SLOPE(M33:O33,M$1:O$1)</f>
        <v>4.45</v>
      </c>
      <c r="R33" s="11">
        <f t="shared" si="2"/>
        <v>39.2738432479707</v>
      </c>
      <c r="S33" s="11">
        <f t="shared" si="3"/>
        <v>59.7708122957759</v>
      </c>
    </row>
    <row r="34" spans="1:19">
      <c r="A34" s="1">
        <v>33</v>
      </c>
      <c r="B34" s="6">
        <v>43181800769</v>
      </c>
      <c r="C34" s="7">
        <v>0.38</v>
      </c>
      <c r="D34" s="6">
        <v>294136903788.841</v>
      </c>
      <c r="E34" s="7">
        <v>0.51</v>
      </c>
      <c r="F34" s="6">
        <v>27344459</v>
      </c>
      <c r="G34" s="8">
        <v>23</v>
      </c>
      <c r="H34" s="2">
        <v>21480833</v>
      </c>
      <c r="J34">
        <v>116</v>
      </c>
      <c r="K34" s="12">
        <v>27</v>
      </c>
      <c r="L34">
        <v>10.12</v>
      </c>
      <c r="M34" s="10">
        <v>109</v>
      </c>
      <c r="N34" s="10">
        <v>107.5</v>
      </c>
      <c r="O34" s="11">
        <v>106.3</v>
      </c>
      <c r="P34" s="10" cm="1">
        <f t="array" ref="P34">INTERCEPT(M34:O34,M$1:O$1)</f>
        <v>111.65</v>
      </c>
      <c r="Q34" s="10" cm="1">
        <f t="array" ref="Q34">SLOPE(M34:O34,M$1:O$1)</f>
        <v>-0.269999999999999</v>
      </c>
      <c r="R34" s="11" t="e">
        <f t="shared" si="2"/>
        <v>#NUM!</v>
      </c>
      <c r="S34" s="11" t="e">
        <f t="shared" si="3"/>
        <v>#NUM!</v>
      </c>
    </row>
    <row r="35" spans="1:19">
      <c r="A35" s="5">
        <v>34</v>
      </c>
      <c r="B35" s="6">
        <v>74458813064</v>
      </c>
      <c r="C35" s="7">
        <v>0.27</v>
      </c>
      <c r="D35" s="6">
        <v>518866531981.417</v>
      </c>
      <c r="E35" s="7">
        <v>0.22</v>
      </c>
      <c r="F35" s="6">
        <v>2028341</v>
      </c>
      <c r="G35" s="8">
        <v>18</v>
      </c>
      <c r="H35" s="2">
        <v>1301002</v>
      </c>
      <c r="J35">
        <v>20</v>
      </c>
      <c r="K35" s="12">
        <v>44</v>
      </c>
      <c r="L35">
        <v>0.74</v>
      </c>
      <c r="M35" s="10">
        <v>5.2</v>
      </c>
      <c r="N35" s="10">
        <v>5</v>
      </c>
      <c r="O35" s="11">
        <v>2</v>
      </c>
      <c r="P35" s="10" cm="1">
        <f t="array" ref="P35">INTERCEPT(M35:O35,M$1:O$1)</f>
        <v>8.86666666666667</v>
      </c>
      <c r="Q35" s="10" cm="1">
        <f t="array" ref="Q35">SLOPE(M35:O35,M$1:O$1)</f>
        <v>-0.32</v>
      </c>
      <c r="R35" s="11" t="e">
        <f t="shared" si="2"/>
        <v>#NUM!</v>
      </c>
      <c r="S35" s="11" t="e">
        <f t="shared" si="3"/>
        <v>#NUM!</v>
      </c>
    </row>
    <row r="36" spans="1:19">
      <c r="A36" s="1">
        <v>35</v>
      </c>
      <c r="B36" s="6">
        <v>11898447984</v>
      </c>
      <c r="C36" s="7">
        <v>0.2</v>
      </c>
      <c r="D36" s="6">
        <v>84280673220</v>
      </c>
      <c r="E36" s="7">
        <v>0.59</v>
      </c>
      <c r="F36" s="6">
        <v>37307709</v>
      </c>
      <c r="G36" s="8">
        <v>13</v>
      </c>
      <c r="H36" s="2">
        <v>15596239</v>
      </c>
      <c r="J36">
        <v>142</v>
      </c>
      <c r="K36" s="12">
        <v>6.7</v>
      </c>
      <c r="L36">
        <v>8.06</v>
      </c>
      <c r="M36" s="10">
        <v>102</v>
      </c>
      <c r="N36" s="10">
        <v>96.4</v>
      </c>
      <c r="O36" s="11">
        <v>90.8</v>
      </c>
      <c r="P36" s="10" cm="1">
        <f t="array" ref="P36">INTERCEPT(M36:O36,M$1:O$1)</f>
        <v>113.2</v>
      </c>
      <c r="Q36" s="10" cm="1">
        <f t="array" ref="Q36">SLOPE(M36:O36,M$1:O$1)</f>
        <v>-1.12</v>
      </c>
      <c r="R36" s="11" t="e">
        <f t="shared" si="2"/>
        <v>#NUM!</v>
      </c>
      <c r="S36" s="11" t="e">
        <f t="shared" si="3"/>
        <v>#NUM!</v>
      </c>
    </row>
    <row r="37" spans="1:19">
      <c r="A37" s="5">
        <v>36</v>
      </c>
      <c r="B37" s="6">
        <v>15607247999</v>
      </c>
      <c r="C37" s="7">
        <v>0.2</v>
      </c>
      <c r="D37" s="6">
        <v>110551339992.917</v>
      </c>
      <c r="E37" s="7">
        <v>0.41</v>
      </c>
      <c r="F37" s="6">
        <v>44570700</v>
      </c>
      <c r="G37" s="8">
        <v>14</v>
      </c>
      <c r="H37" s="2">
        <v>21177424</v>
      </c>
      <c r="J37">
        <v>139</v>
      </c>
      <c r="K37" s="12">
        <v>7.8</v>
      </c>
      <c r="L37">
        <v>11.05</v>
      </c>
      <c r="M37" s="10">
        <v>127.5</v>
      </c>
      <c r="N37" s="10">
        <v>122.6</v>
      </c>
      <c r="O37" s="11">
        <v>119</v>
      </c>
      <c r="P37" s="10" cm="1">
        <f t="array" ref="P37">INTERCEPT(M37:O37,M$1:O$1)</f>
        <v>135.783333333333</v>
      </c>
      <c r="Q37" s="10" cm="1">
        <f t="array" ref="Q37">SLOPE(M37:O37,M$1:O$1)</f>
        <v>-0.85</v>
      </c>
      <c r="R37" s="11" t="e">
        <f t="shared" si="2"/>
        <v>#NUM!</v>
      </c>
      <c r="S37" s="11" t="e">
        <f t="shared" si="3"/>
        <v>#NUM!</v>
      </c>
    </row>
    <row r="38" spans="1:19">
      <c r="A38" s="5">
        <v>37</v>
      </c>
      <c r="B38" s="6">
        <v>1355703199</v>
      </c>
      <c r="C38" s="7">
        <v>0.21</v>
      </c>
      <c r="D38" s="6">
        <v>9579555662.35537</v>
      </c>
      <c r="E38" s="7">
        <v>0.18</v>
      </c>
      <c r="F38" s="6">
        <v>18100777</v>
      </c>
      <c r="G38" s="8">
        <v>51</v>
      </c>
      <c r="H38" s="2">
        <v>21747953</v>
      </c>
      <c r="K38" s="12"/>
      <c r="M38" s="10">
        <v>-20</v>
      </c>
      <c r="N38" s="10">
        <v>-30</v>
      </c>
      <c r="O38" s="11">
        <v>-40</v>
      </c>
      <c r="P38" s="10"/>
      <c r="Q38" s="10"/>
      <c r="R38" s="11"/>
      <c r="S38" s="11"/>
    </row>
    <row r="39" spans="1:19">
      <c r="A39" s="1">
        <v>38</v>
      </c>
      <c r="B39" s="6">
        <v>40698692710</v>
      </c>
      <c r="C39" s="7">
        <v>0.39</v>
      </c>
      <c r="D39" s="6">
        <v>276692551157.914</v>
      </c>
      <c r="E39" s="7">
        <v>0.2</v>
      </c>
      <c r="F39" s="6">
        <v>5954953</v>
      </c>
      <c r="G39" s="8">
        <v>29</v>
      </c>
      <c r="H39" s="2">
        <v>11103950</v>
      </c>
      <c r="J39">
        <v>39.5</v>
      </c>
      <c r="K39" s="12">
        <v>22.6</v>
      </c>
      <c r="L39">
        <v>3.73</v>
      </c>
      <c r="M39" s="10">
        <v>43.7</v>
      </c>
      <c r="N39" s="10">
        <v>46.3</v>
      </c>
      <c r="O39" s="11">
        <v>48.8</v>
      </c>
      <c r="P39" s="10" cm="1">
        <f t="array" ref="P39">INTERCEPT(M39:O39,M$1:O$1)</f>
        <v>38.6166666666667</v>
      </c>
      <c r="Q39" s="10" cm="1">
        <f t="array" ref="Q39">SLOPE(M39:O39,M$1:O$1)</f>
        <v>0.509999999999999</v>
      </c>
      <c r="R39" s="11">
        <f t="shared" si="2"/>
        <v>-18.9354862978956</v>
      </c>
      <c r="S39" s="11">
        <f t="shared" si="3"/>
        <v>27.0370746224409</v>
      </c>
    </row>
    <row r="40" spans="1:19">
      <c r="A40" s="5">
        <v>39</v>
      </c>
      <c r="B40" s="6">
        <v>73772552923</v>
      </c>
      <c r="C40" s="7">
        <v>0.14</v>
      </c>
      <c r="D40" s="6">
        <v>530644678919.825</v>
      </c>
      <c r="E40" s="7">
        <v>0.46</v>
      </c>
      <c r="F40" s="6">
        <v>33350538</v>
      </c>
      <c r="G40" s="8">
        <v>36</v>
      </c>
      <c r="H40" s="2">
        <v>11095069</v>
      </c>
      <c r="J40">
        <v>178</v>
      </c>
      <c r="K40" s="12">
        <v>38</v>
      </c>
      <c r="L40">
        <v>6.59</v>
      </c>
      <c r="M40" s="10">
        <v>198</v>
      </c>
      <c r="N40" s="10">
        <v>210</v>
      </c>
      <c r="O40" s="11">
        <v>220</v>
      </c>
      <c r="P40" s="10" cm="1">
        <f t="array" ref="P40">INTERCEPT(M40:O40,M$1:O$1)</f>
        <v>176.333333333333</v>
      </c>
      <c r="Q40" s="10" cm="1">
        <f t="array" ref="Q40">SLOPE(M40:O40,M$1:O$1)</f>
        <v>2.2</v>
      </c>
      <c r="R40" s="11">
        <f t="shared" si="2"/>
        <v>22.0243132127364</v>
      </c>
      <c r="S40" s="11">
        <f t="shared" si="3"/>
        <v>59.4419545405092</v>
      </c>
    </row>
    <row r="41" spans="1:19">
      <c r="A41" s="1">
        <v>40</v>
      </c>
      <c r="B41" s="6">
        <v>9470572811</v>
      </c>
      <c r="C41" s="7">
        <v>0.31</v>
      </c>
      <c r="D41" s="6">
        <v>65426476289.7328</v>
      </c>
      <c r="E41" s="7">
        <v>0.27</v>
      </c>
      <c r="F41" s="6">
        <v>11132232</v>
      </c>
      <c r="G41" s="8">
        <v>39</v>
      </c>
      <c r="H41" s="2">
        <v>7811250</v>
      </c>
      <c r="J41">
        <v>61.7</v>
      </c>
      <c r="K41" s="12">
        <v>4.6</v>
      </c>
      <c r="L41">
        <v>3.94</v>
      </c>
      <c r="M41" s="10">
        <v>75.3</v>
      </c>
      <c r="N41" s="10">
        <v>82.5</v>
      </c>
      <c r="O41" s="11">
        <v>90</v>
      </c>
      <c r="P41" s="10" cm="1">
        <f t="array" ref="P41">INTERCEPT(M41:O41,M$1:O$1)</f>
        <v>60.55</v>
      </c>
      <c r="Q41" s="10" cm="1">
        <f t="array" ref="Q41">SLOPE(M41:O41,M$1:O$1)</f>
        <v>1.47</v>
      </c>
      <c r="R41" s="11">
        <f t="shared" si="2"/>
        <v>10.9693237904034</v>
      </c>
      <c r="S41" s="11">
        <f t="shared" si="3"/>
        <v>24.9703991424513</v>
      </c>
    </row>
    <row r="42" spans="1:19">
      <c r="A42" s="5">
        <v>41</v>
      </c>
      <c r="B42" s="6">
        <v>24518301992</v>
      </c>
      <c r="C42" s="7">
        <v>0.2</v>
      </c>
      <c r="D42" s="6">
        <v>173671305776.667</v>
      </c>
      <c r="E42" s="7">
        <v>0.43</v>
      </c>
      <c r="F42" s="6">
        <v>25585680</v>
      </c>
      <c r="G42" s="8">
        <v>14</v>
      </c>
      <c r="H42" s="2">
        <v>27710114</v>
      </c>
      <c r="J42">
        <v>91</v>
      </c>
      <c r="K42">
        <v>12.33</v>
      </c>
      <c r="L42">
        <v>9.97</v>
      </c>
      <c r="M42" s="10">
        <v>73.8</v>
      </c>
      <c r="N42" s="10">
        <v>69.2</v>
      </c>
      <c r="O42" s="11">
        <v>64</v>
      </c>
      <c r="P42" s="10" cm="1">
        <f t="array" ref="P42">INTERCEPT(M42:O42,M$1:O$1)</f>
        <v>83.7</v>
      </c>
      <c r="Q42" s="10" cm="1">
        <f t="array" ref="Q42">SLOPE(M42:O42,M$1:O$1)</f>
        <v>-0.98</v>
      </c>
      <c r="R42" s="11" t="e">
        <f t="shared" si="2"/>
        <v>#NUM!</v>
      </c>
      <c r="S42" s="11" t="e">
        <f t="shared" si="3"/>
        <v>#NUM!</v>
      </c>
    </row>
    <row r="43" spans="1:19">
      <c r="A43" s="5">
        <v>42</v>
      </c>
      <c r="B43" s="6">
        <v>73625830208</v>
      </c>
      <c r="C43" s="7">
        <v>0.23</v>
      </c>
      <c r="D43" s="6">
        <v>517775147397.724</v>
      </c>
      <c r="E43" s="7">
        <v>0.33</v>
      </c>
      <c r="F43" s="6">
        <v>2834444</v>
      </c>
      <c r="G43" s="8">
        <v>40</v>
      </c>
      <c r="H43" s="2">
        <v>29356620</v>
      </c>
      <c r="J43">
        <v>74</v>
      </c>
      <c r="K43">
        <v>23.8</v>
      </c>
      <c r="L43">
        <v>3.34</v>
      </c>
      <c r="M43" s="10">
        <v>98</v>
      </c>
      <c r="N43" s="10">
        <v>110.4</v>
      </c>
      <c r="O43" s="11">
        <v>124.6</v>
      </c>
      <c r="P43" s="10" cm="1">
        <f t="array" ref="P43">INTERCEPT(M43:O43,M$1:O$1)</f>
        <v>71.1</v>
      </c>
      <c r="Q43" s="10" cm="1">
        <f t="array" ref="Q43">SLOPE(M43:O43,M$1:O$1)</f>
        <v>2.66</v>
      </c>
      <c r="R43" s="11">
        <f t="shared" si="2"/>
        <v>26.9718008412483</v>
      </c>
      <c r="S43" s="11">
        <f t="shared" si="3"/>
        <v>21.7971035186905</v>
      </c>
    </row>
    <row r="44" spans="1:19">
      <c r="A44" s="1">
        <v>43</v>
      </c>
      <c r="B44" s="6">
        <v>30434234408</v>
      </c>
      <c r="C44" s="7">
        <v>0.32</v>
      </c>
      <c r="D44" s="6">
        <v>209811767509.697</v>
      </c>
      <c r="E44" s="7">
        <v>0.52</v>
      </c>
      <c r="F44" s="6">
        <v>23398060</v>
      </c>
      <c r="G44" s="8">
        <v>45</v>
      </c>
      <c r="H44" s="2">
        <v>13930655</v>
      </c>
      <c r="J44">
        <v>163.5</v>
      </c>
      <c r="K44">
        <v>15.6</v>
      </c>
      <c r="L44">
        <v>8.64</v>
      </c>
      <c r="M44" s="10">
        <v>196</v>
      </c>
      <c r="N44" s="10">
        <v>213.5</v>
      </c>
      <c r="O44" s="11">
        <v>229.5</v>
      </c>
      <c r="P44" s="10" cm="1">
        <f t="array" ref="P44">INTERCEPT(M44:O44,M$1:O$1)</f>
        <v>162.75</v>
      </c>
      <c r="Q44" s="10" cm="1">
        <f t="array" ref="Q44">SLOPE(M44:O44,M$1:O$1)</f>
        <v>3.35</v>
      </c>
      <c r="R44" s="11">
        <f t="shared" si="2"/>
        <v>32.6992900462113</v>
      </c>
      <c r="S44" s="11">
        <f t="shared" si="3"/>
        <v>44.459911928126</v>
      </c>
    </row>
    <row r="45" spans="1:19">
      <c r="A45" s="5">
        <v>44</v>
      </c>
      <c r="B45" s="6">
        <v>33707964997</v>
      </c>
      <c r="C45" s="7">
        <v>0.15</v>
      </c>
      <c r="D45" s="6">
        <v>241818009761.087</v>
      </c>
      <c r="E45" s="7">
        <v>0.29</v>
      </c>
      <c r="F45" s="6">
        <v>30190521</v>
      </c>
      <c r="G45" s="8">
        <v>11</v>
      </c>
      <c r="H45" s="2">
        <v>29977853</v>
      </c>
      <c r="J45">
        <v>99</v>
      </c>
      <c r="K45">
        <v>15.8</v>
      </c>
      <c r="L45">
        <v>9.77</v>
      </c>
      <c r="M45" s="10">
        <v>80.4</v>
      </c>
      <c r="N45" s="10">
        <v>74</v>
      </c>
      <c r="O45" s="11">
        <v>72</v>
      </c>
      <c r="P45" s="10" cm="1">
        <f t="array" ref="P45">INTERCEPT(M45:O45,M$1:O$1)</f>
        <v>88.0666666666667</v>
      </c>
      <c r="Q45" s="10" cm="1">
        <f t="array" ref="Q45">SLOPE(M45:O45,M$1:O$1)</f>
        <v>-0.840000000000001</v>
      </c>
      <c r="R45" s="11" t="e">
        <f t="shared" si="2"/>
        <v>#NUM!</v>
      </c>
      <c r="S45" s="11" t="e">
        <f t="shared" si="3"/>
        <v>#NUM!</v>
      </c>
    </row>
    <row r="46" spans="1:19">
      <c r="A46" s="1">
        <v>45</v>
      </c>
      <c r="B46" s="6">
        <v>30136859180</v>
      </c>
      <c r="C46" s="7">
        <v>0.28</v>
      </c>
      <c r="D46" s="6">
        <v>209545348985.937</v>
      </c>
      <c r="E46" s="7">
        <v>0.54</v>
      </c>
      <c r="F46" s="6">
        <v>23972424</v>
      </c>
      <c r="G46" s="8">
        <v>11</v>
      </c>
      <c r="H46" s="2">
        <v>2839029</v>
      </c>
      <c r="J46">
        <v>74.6</v>
      </c>
      <c r="K46">
        <v>17.6</v>
      </c>
      <c r="L46">
        <v>1.75</v>
      </c>
      <c r="M46" s="10">
        <v>54.2</v>
      </c>
      <c r="N46" s="10">
        <v>53.8</v>
      </c>
      <c r="O46" s="11">
        <v>47.5</v>
      </c>
      <c r="P46" s="10" cm="1">
        <f t="array" ref="P46">INTERCEPT(M46:O46,M$1:O$1)</f>
        <v>61.8833333333333</v>
      </c>
      <c r="Q46" s="10" cm="1">
        <f t="array" ref="Q46">SLOPE(M46:O46,M$1:O$1)</f>
        <v>-0.67</v>
      </c>
      <c r="R46" s="11" t="e">
        <f t="shared" ref="R46:R67" si="4">ASIN((Q46-1)/(Q46+1))/3.1415926*180</f>
        <v>#NUM!</v>
      </c>
      <c r="S46" s="11" t="e">
        <f t="shared" ref="S46:S67" si="5">P46*(1-SIN(R46/180*3.1415926))/2/COS(R46/180*3.1415926)</f>
        <v>#NUM!</v>
      </c>
    </row>
    <row r="47" spans="1:19">
      <c r="A47" s="5">
        <v>46</v>
      </c>
      <c r="B47" s="6">
        <v>12680663737</v>
      </c>
      <c r="C47" s="7">
        <v>0.24</v>
      </c>
      <c r="D47" s="6">
        <v>88969172993.4677</v>
      </c>
      <c r="E47" s="7">
        <v>0.32</v>
      </c>
      <c r="F47" s="6">
        <v>10521126</v>
      </c>
      <c r="G47" s="8">
        <v>14</v>
      </c>
      <c r="H47" s="2">
        <v>16034965</v>
      </c>
      <c r="J47">
        <v>39</v>
      </c>
      <c r="K47">
        <v>5.9</v>
      </c>
      <c r="L47">
        <v>5.58</v>
      </c>
      <c r="M47" s="10">
        <v>26.3</v>
      </c>
      <c r="N47" s="10">
        <v>21.6</v>
      </c>
      <c r="O47" s="11">
        <v>16.55</v>
      </c>
      <c r="P47" s="10" cm="1">
        <f t="array" ref="P47">INTERCEPT(M47:O47,M$1:O$1)</f>
        <v>36.1083333333333</v>
      </c>
      <c r="Q47" s="10" cm="1">
        <f t="array" ref="Q47">SLOPE(M47:O47,M$1:O$1)</f>
        <v>-0.975</v>
      </c>
      <c r="R47" s="11" t="e">
        <f t="shared" si="4"/>
        <v>#NUM!</v>
      </c>
      <c r="S47" s="11" t="e">
        <f t="shared" si="5"/>
        <v>#NUM!</v>
      </c>
    </row>
    <row r="48" spans="1:19">
      <c r="A48" s="5">
        <v>47</v>
      </c>
      <c r="B48" s="6">
        <v>27229641849</v>
      </c>
      <c r="C48" s="7">
        <v>0.22</v>
      </c>
      <c r="D48" s="6">
        <v>191946655656.885</v>
      </c>
      <c r="E48" s="7">
        <v>0.46</v>
      </c>
      <c r="F48" s="6">
        <v>5401022</v>
      </c>
      <c r="G48" s="8">
        <v>22</v>
      </c>
      <c r="H48" s="2">
        <v>11530854</v>
      </c>
      <c r="J48">
        <v>34</v>
      </c>
      <c r="K48">
        <v>13</v>
      </c>
      <c r="L48">
        <v>3.24</v>
      </c>
      <c r="M48" s="10">
        <v>23.6</v>
      </c>
      <c r="N48" s="10">
        <v>21.9</v>
      </c>
      <c r="O48" s="11">
        <v>19.8</v>
      </c>
      <c r="P48" s="10" cm="1">
        <f t="array" ref="P48">INTERCEPT(M48:O48,M$1:O$1)</f>
        <v>27.4666666666667</v>
      </c>
      <c r="Q48" s="10" cm="1">
        <f t="array" ref="Q48">SLOPE(M48:O48,M$1:O$1)</f>
        <v>-0.38</v>
      </c>
      <c r="R48" s="11" t="e">
        <f t="shared" si="4"/>
        <v>#NUM!</v>
      </c>
      <c r="S48" s="11" t="e">
        <f t="shared" si="5"/>
        <v>#NUM!</v>
      </c>
    </row>
    <row r="49" spans="1:19">
      <c r="A49" s="1">
        <v>48</v>
      </c>
      <c r="B49" s="6">
        <v>63643452389</v>
      </c>
      <c r="C49" s="7">
        <v>0.24</v>
      </c>
      <c r="D49" s="6">
        <v>446530674019.597</v>
      </c>
      <c r="E49" s="7">
        <v>0.55</v>
      </c>
      <c r="F49" s="6">
        <v>30715668</v>
      </c>
      <c r="G49" s="8">
        <v>10</v>
      </c>
      <c r="H49" s="2">
        <v>29110420</v>
      </c>
      <c r="J49">
        <v>105</v>
      </c>
      <c r="K49">
        <v>38.5</v>
      </c>
      <c r="L49">
        <v>9.54</v>
      </c>
      <c r="M49" s="10">
        <v>84.3</v>
      </c>
      <c r="N49" s="10">
        <v>77</v>
      </c>
      <c r="O49" s="11">
        <v>69</v>
      </c>
      <c r="P49" s="10" cm="1">
        <f t="array" ref="P49">INTERCEPT(M49:O49,M$1:O$1)</f>
        <v>99.7166666666667</v>
      </c>
      <c r="Q49" s="10" cm="1">
        <f t="array" ref="Q49">SLOPE(M49:O49,M$1:O$1)</f>
        <v>-1.53</v>
      </c>
      <c r="R49" s="11" t="e">
        <f t="shared" si="4"/>
        <v>#NUM!</v>
      </c>
      <c r="S49" s="11" t="e">
        <f t="shared" si="5"/>
        <v>#NUM!</v>
      </c>
    </row>
    <row r="50" spans="1:19">
      <c r="A50" s="5">
        <v>49</v>
      </c>
      <c r="B50" s="6">
        <v>39257735442</v>
      </c>
      <c r="C50" s="7">
        <v>0.22</v>
      </c>
      <c r="D50" s="6">
        <v>276734856394.426</v>
      </c>
      <c r="E50" s="7">
        <v>0.2</v>
      </c>
      <c r="F50" s="6">
        <v>14798099</v>
      </c>
      <c r="G50" s="8">
        <v>12</v>
      </c>
      <c r="H50" s="2">
        <v>27717647</v>
      </c>
      <c r="J50">
        <v>56</v>
      </c>
      <c r="K50">
        <v>18</v>
      </c>
      <c r="L50">
        <v>7.5</v>
      </c>
      <c r="M50" s="10">
        <v>40.1</v>
      </c>
      <c r="N50" s="10">
        <v>35.6</v>
      </c>
      <c r="O50" s="11">
        <v>32</v>
      </c>
      <c r="P50" s="10" cm="1">
        <f t="array" ref="P50">INTERCEPT(M50:O50,M$1:O$1)</f>
        <v>48.05</v>
      </c>
      <c r="Q50" s="10" cm="1">
        <f t="array" ref="Q50">SLOPE(M50:O50,M$1:O$1)</f>
        <v>-0.81</v>
      </c>
      <c r="R50" s="11" t="e">
        <f t="shared" si="4"/>
        <v>#NUM!</v>
      </c>
      <c r="S50" s="11" t="e">
        <f t="shared" si="5"/>
        <v>#NUM!</v>
      </c>
    </row>
    <row r="51" spans="1:19">
      <c r="A51" s="1">
        <v>50</v>
      </c>
      <c r="B51" s="6">
        <v>42503724442</v>
      </c>
      <c r="C51" s="7">
        <v>0.15</v>
      </c>
      <c r="D51" s="6">
        <v>304918023170.87</v>
      </c>
      <c r="E51" s="7">
        <v>0.3</v>
      </c>
      <c r="F51" s="6">
        <v>36444464</v>
      </c>
      <c r="G51" s="8">
        <v>39</v>
      </c>
      <c r="H51" s="2">
        <v>13356903</v>
      </c>
      <c r="J51">
        <v>188.4</v>
      </c>
      <c r="K51">
        <v>19</v>
      </c>
      <c r="L51">
        <v>7.94</v>
      </c>
      <c r="M51" s="10">
        <v>220.1</v>
      </c>
      <c r="N51" s="10">
        <v>231.5</v>
      </c>
      <c r="O51" s="11">
        <v>239.2</v>
      </c>
      <c r="P51" s="10" cm="1">
        <f t="array" ref="P51">INTERCEPT(M51:O51,M$1:O$1)</f>
        <v>201.616666666667</v>
      </c>
      <c r="Q51" s="10" cm="1">
        <f t="array" ref="Q51">SLOPE(M51:O51,M$1:O$1)</f>
        <v>1.91</v>
      </c>
      <c r="R51" s="11">
        <f t="shared" si="4"/>
        <v>18.2229122465008</v>
      </c>
      <c r="S51" s="11">
        <f t="shared" si="5"/>
        <v>72.9423500018536</v>
      </c>
    </row>
    <row r="52" spans="1:19">
      <c r="A52" s="5">
        <v>51</v>
      </c>
      <c r="B52" s="6">
        <v>68346621897</v>
      </c>
      <c r="C52" s="7">
        <v>0.27</v>
      </c>
      <c r="D52" s="6">
        <v>476273703770.433</v>
      </c>
      <c r="E52" s="7">
        <v>0.19</v>
      </c>
      <c r="F52" s="6">
        <v>20773361</v>
      </c>
      <c r="G52" s="8">
        <v>44</v>
      </c>
      <c r="H52" s="2">
        <v>2961349</v>
      </c>
      <c r="J52">
        <v>141</v>
      </c>
      <c r="K52">
        <v>30</v>
      </c>
      <c r="L52">
        <v>1.8</v>
      </c>
      <c r="M52" s="10">
        <v>192</v>
      </c>
      <c r="N52" s="10">
        <v>214.5</v>
      </c>
      <c r="O52" s="11">
        <v>233.2</v>
      </c>
      <c r="P52" s="10" cm="1">
        <f t="array" ref="P52">INTERCEPT(M52:O52,M$1:O$1)</f>
        <v>151.433333333333</v>
      </c>
      <c r="Q52" s="10" cm="1">
        <f t="array" ref="Q52">SLOPE(M52:O52,M$1:O$1)</f>
        <v>4.12</v>
      </c>
      <c r="R52" s="11">
        <f t="shared" si="4"/>
        <v>37.5443257442641</v>
      </c>
      <c r="S52" s="11">
        <f t="shared" si="5"/>
        <v>37.3029242558365</v>
      </c>
    </row>
    <row r="53" spans="1:19">
      <c r="A53" s="5">
        <v>52</v>
      </c>
      <c r="B53" s="6">
        <v>54253042171</v>
      </c>
      <c r="C53" s="7">
        <v>0.4</v>
      </c>
      <c r="D53" s="6">
        <v>368145643303.214</v>
      </c>
      <c r="E53" s="7">
        <v>0.34</v>
      </c>
      <c r="F53" s="6">
        <v>41029480</v>
      </c>
      <c r="G53" s="8">
        <v>14</v>
      </c>
      <c r="H53" s="2">
        <v>7686482</v>
      </c>
      <c r="J53">
        <v>124</v>
      </c>
      <c r="K53">
        <v>28.3</v>
      </c>
      <c r="L53">
        <v>4.52</v>
      </c>
      <c r="M53" s="10">
        <v>110.2</v>
      </c>
      <c r="N53" s="10">
        <v>105.6</v>
      </c>
      <c r="O53" s="11">
        <v>102</v>
      </c>
      <c r="P53" s="10" cm="1">
        <f t="array" ref="P53">INTERCEPT(M53:O53,M$1:O$1)</f>
        <v>118.233333333333</v>
      </c>
      <c r="Q53" s="10" cm="1">
        <f t="array" ref="Q53">SLOPE(M53:O53,M$1:O$1)</f>
        <v>-0.819999999999999</v>
      </c>
      <c r="R53" s="11" t="e">
        <f t="shared" si="4"/>
        <v>#NUM!</v>
      </c>
      <c r="S53" s="11" t="e">
        <f t="shared" si="5"/>
        <v>#NUM!</v>
      </c>
    </row>
    <row r="54" spans="1:19">
      <c r="A54" s="1">
        <v>53</v>
      </c>
      <c r="B54" s="6">
        <v>36002585749</v>
      </c>
      <c r="C54" s="7">
        <v>0.28</v>
      </c>
      <c r="D54" s="6">
        <v>250330479036.016</v>
      </c>
      <c r="E54" s="7">
        <v>0.18</v>
      </c>
      <c r="F54" s="6">
        <v>16880524</v>
      </c>
      <c r="G54" s="8">
        <v>34</v>
      </c>
      <c r="H54" s="2">
        <v>29582577</v>
      </c>
      <c r="J54">
        <v>102</v>
      </c>
      <c r="K54">
        <v>15.3</v>
      </c>
      <c r="L54">
        <v>10.06</v>
      </c>
      <c r="M54" s="10">
        <v>106.8</v>
      </c>
      <c r="N54" s="10">
        <v>114.6</v>
      </c>
      <c r="O54" s="11">
        <v>119.5</v>
      </c>
      <c r="P54" s="10" cm="1">
        <f t="array" ref="P54">INTERCEPT(M54:O54,M$1:O$1)</f>
        <v>94.5833333333333</v>
      </c>
      <c r="Q54" s="10" cm="1">
        <f t="array" ref="Q54">SLOPE(M54:O54,M$1:O$1)</f>
        <v>1.27</v>
      </c>
      <c r="R54" s="11">
        <f t="shared" si="4"/>
        <v>6.83108865314949</v>
      </c>
      <c r="S54" s="11">
        <f t="shared" si="5"/>
        <v>41.9645682578037</v>
      </c>
    </row>
    <row r="55" spans="1:19">
      <c r="A55" s="5">
        <v>54</v>
      </c>
      <c r="B55" s="6">
        <v>6723443979</v>
      </c>
      <c r="C55" s="7">
        <v>0.4</v>
      </c>
      <c r="D55" s="6">
        <v>45623369857.5</v>
      </c>
      <c r="E55" s="7">
        <v>0.38</v>
      </c>
      <c r="F55" s="6">
        <v>6447264</v>
      </c>
      <c r="G55" s="8">
        <v>46</v>
      </c>
      <c r="H55" s="2">
        <v>28211189</v>
      </c>
      <c r="J55">
        <v>51</v>
      </c>
      <c r="K55">
        <v>3.5</v>
      </c>
      <c r="L55">
        <v>4.56</v>
      </c>
      <c r="M55" s="10">
        <v>76.6</v>
      </c>
      <c r="N55" s="10">
        <v>88</v>
      </c>
      <c r="O55" s="11">
        <v>102</v>
      </c>
      <c r="P55" s="10" cm="1">
        <f t="array" ref="P55">INTERCEPT(M55:O55,M$1:O$1)</f>
        <v>50.7666666666667</v>
      </c>
      <c r="Q55" s="10" cm="1">
        <f t="array" ref="Q55">SLOPE(M55:O55,M$1:O$1)</f>
        <v>2.54</v>
      </c>
      <c r="R55" s="11">
        <f t="shared" si="4"/>
        <v>25.7870918330423</v>
      </c>
      <c r="S55" s="11">
        <f t="shared" si="5"/>
        <v>15.9269198537569</v>
      </c>
    </row>
    <row r="56" spans="1:19">
      <c r="A56" s="1">
        <v>55</v>
      </c>
      <c r="B56" s="6">
        <v>29552781120</v>
      </c>
      <c r="C56" s="7">
        <v>0.26</v>
      </c>
      <c r="D56" s="6">
        <v>206400376076.19</v>
      </c>
      <c r="E56" s="7">
        <v>0.43</v>
      </c>
      <c r="F56" s="6">
        <v>38922139</v>
      </c>
      <c r="G56" s="8">
        <v>40</v>
      </c>
      <c r="H56" s="2">
        <v>8864964</v>
      </c>
      <c r="J56">
        <v>200</v>
      </c>
      <c r="K56">
        <v>14.2</v>
      </c>
      <c r="L56">
        <v>5.27</v>
      </c>
      <c r="M56" s="10">
        <v>227</v>
      </c>
      <c r="N56" s="10">
        <v>237.6</v>
      </c>
      <c r="O56" s="11">
        <v>249.3</v>
      </c>
      <c r="P56" s="10" cm="1">
        <f t="array" ref="P56">INTERCEPT(M56:O56,M$1:O$1)</f>
        <v>204.516666666667</v>
      </c>
      <c r="Q56" s="10" cm="1">
        <f t="array" ref="Q56">SLOPE(M56:O56,M$1:O$1)</f>
        <v>2.23</v>
      </c>
      <c r="R56" s="11">
        <f t="shared" si="4"/>
        <v>22.3835526272809</v>
      </c>
      <c r="S56" s="11">
        <f t="shared" si="5"/>
        <v>68.4772448739045</v>
      </c>
    </row>
    <row r="57" spans="1:19">
      <c r="A57" s="5">
        <v>56</v>
      </c>
      <c r="B57" s="6">
        <v>14747464755</v>
      </c>
      <c r="C57" s="7">
        <v>0.33</v>
      </c>
      <c r="D57" s="6">
        <v>101458122186.654</v>
      </c>
      <c r="E57" s="7">
        <v>0.58</v>
      </c>
      <c r="F57" s="6">
        <v>16729725</v>
      </c>
      <c r="G57" s="8">
        <v>25</v>
      </c>
      <c r="H57" s="2">
        <v>24912525</v>
      </c>
      <c r="J57">
        <v>76.7</v>
      </c>
      <c r="K57">
        <v>7.8</v>
      </c>
      <c r="L57">
        <v>9.71</v>
      </c>
      <c r="M57" s="10">
        <v>66</v>
      </c>
      <c r="N57" s="10">
        <v>64.7</v>
      </c>
      <c r="O57" s="11">
        <v>63.2</v>
      </c>
      <c r="P57" s="10" cm="1">
        <f t="array" ref="P57">INTERCEPT(M57:O57,M$1:O$1)</f>
        <v>68.8333333333333</v>
      </c>
      <c r="Q57" s="10" cm="1">
        <f t="array" ref="Q57">SLOPE(M57:O57,M$1:O$1)</f>
        <v>-0.28</v>
      </c>
      <c r="R57" s="11" t="e">
        <f t="shared" si="4"/>
        <v>#NUM!</v>
      </c>
      <c r="S57" s="11" t="e">
        <f t="shared" si="5"/>
        <v>#NUM!</v>
      </c>
    </row>
    <row r="58" spans="1:19">
      <c r="A58" s="5">
        <v>57</v>
      </c>
      <c r="B58" s="6">
        <v>6318323946</v>
      </c>
      <c r="C58" s="7">
        <v>0.27</v>
      </c>
      <c r="D58" s="6">
        <v>44029265292.9921</v>
      </c>
      <c r="E58" s="7">
        <v>0.56</v>
      </c>
      <c r="F58" s="6">
        <v>36748209</v>
      </c>
      <c r="G58" s="8">
        <v>58</v>
      </c>
      <c r="H58" s="2">
        <v>16013170</v>
      </c>
      <c r="M58" s="10">
        <v>-20</v>
      </c>
      <c r="N58" s="10">
        <v>-30</v>
      </c>
      <c r="O58" s="11">
        <v>-40</v>
      </c>
      <c r="P58" s="10"/>
      <c r="Q58" s="10"/>
      <c r="R58" s="11"/>
      <c r="S58" s="11"/>
    </row>
    <row r="59" spans="1:19">
      <c r="A59" s="1">
        <v>58</v>
      </c>
      <c r="B59" s="6">
        <v>70527687623</v>
      </c>
      <c r="C59" s="7">
        <v>0.15</v>
      </c>
      <c r="D59" s="6">
        <v>505959498165</v>
      </c>
      <c r="E59" s="7">
        <v>0.44</v>
      </c>
      <c r="F59" s="6">
        <v>20535753</v>
      </c>
      <c r="G59" s="8">
        <v>52</v>
      </c>
      <c r="H59" s="2">
        <v>14766868</v>
      </c>
      <c r="J59">
        <v>235</v>
      </c>
      <c r="K59">
        <v>32</v>
      </c>
      <c r="L59">
        <v>8.09</v>
      </c>
      <c r="M59" s="10">
        <v>311</v>
      </c>
      <c r="N59" s="10">
        <v>355</v>
      </c>
      <c r="O59" s="11">
        <v>388.5</v>
      </c>
      <c r="P59" s="10" cm="1">
        <f t="array" ref="P59">INTERCEPT(M59:O59,M$1:O$1)</f>
        <v>235.25</v>
      </c>
      <c r="Q59" s="10" cm="1">
        <f t="array" ref="Q59">SLOPE(M59:O59,M$1:O$1)</f>
        <v>7.75</v>
      </c>
      <c r="R59" s="11">
        <f t="shared" si="4"/>
        <v>50.4823480639632</v>
      </c>
      <c r="S59" s="11">
        <f t="shared" si="5"/>
        <v>42.2521473017988</v>
      </c>
    </row>
    <row r="60" spans="1:19">
      <c r="A60" s="5">
        <v>59</v>
      </c>
      <c r="B60" s="6">
        <v>79619832628</v>
      </c>
      <c r="C60" s="7">
        <v>0.25</v>
      </c>
      <c r="D60" s="6">
        <v>557338828396</v>
      </c>
      <c r="E60" s="7">
        <v>0.35</v>
      </c>
      <c r="F60" s="6">
        <v>17853435</v>
      </c>
      <c r="G60" s="8">
        <v>19</v>
      </c>
      <c r="H60" s="2">
        <v>12974228</v>
      </c>
      <c r="J60">
        <v>77.3</v>
      </c>
      <c r="K60">
        <v>39.8</v>
      </c>
      <c r="L60">
        <v>4.21</v>
      </c>
      <c r="M60" s="10">
        <v>60</v>
      </c>
      <c r="N60" s="10">
        <v>59.2</v>
      </c>
      <c r="O60" s="11">
        <v>62</v>
      </c>
      <c r="P60" s="10" cm="1">
        <f t="array" ref="P60">INTERCEPT(M60:O60,M$1:O$1)</f>
        <v>57.4</v>
      </c>
      <c r="Q60" s="10" cm="1">
        <f t="array" ref="Q60">SLOPE(M60:O60,M$1:O$1)</f>
        <v>0.2</v>
      </c>
      <c r="R60" s="11">
        <f t="shared" si="4"/>
        <v>-41.8103156089857</v>
      </c>
      <c r="S60" s="11">
        <f t="shared" si="5"/>
        <v>64.175150954244</v>
      </c>
    </row>
    <row r="61" spans="1:19">
      <c r="A61" s="1">
        <v>60</v>
      </c>
      <c r="B61" s="6">
        <v>58751214451</v>
      </c>
      <c r="C61" s="7">
        <v>0.4</v>
      </c>
      <c r="D61" s="6">
        <v>398668955203.214</v>
      </c>
      <c r="E61" s="7">
        <v>0.46</v>
      </c>
      <c r="F61" s="6">
        <v>41949249</v>
      </c>
      <c r="G61" s="8">
        <v>36</v>
      </c>
      <c r="H61" s="2">
        <v>22455923</v>
      </c>
      <c r="J61">
        <v>222.3</v>
      </c>
      <c r="K61">
        <v>30.8</v>
      </c>
      <c r="L61">
        <v>13.36</v>
      </c>
      <c r="M61" s="10">
        <v>242.9</v>
      </c>
      <c r="N61" s="10">
        <v>254.5</v>
      </c>
      <c r="O61" s="11">
        <v>262</v>
      </c>
      <c r="P61" s="10" cm="1">
        <f t="array" ref="P61">INTERCEPT(M61:O61,M$1:O$1)</f>
        <v>224.483333333333</v>
      </c>
      <c r="Q61" s="10" cm="1">
        <f t="array" ref="Q61">SLOPE(M61:O61,M$1:O$1)</f>
        <v>1.91</v>
      </c>
      <c r="R61" s="11">
        <f t="shared" si="4"/>
        <v>18.2229122465008</v>
      </c>
      <c r="S61" s="11">
        <f t="shared" si="5"/>
        <v>81.2152196556968</v>
      </c>
    </row>
    <row r="62" spans="1:19">
      <c r="A62" s="5">
        <v>61</v>
      </c>
      <c r="B62" s="6">
        <v>37709202507</v>
      </c>
      <c r="C62" s="7">
        <v>0.16</v>
      </c>
      <c r="D62" s="6">
        <v>269815845524.224</v>
      </c>
      <c r="E62" s="7">
        <v>0.44</v>
      </c>
      <c r="F62" s="6">
        <v>35792884</v>
      </c>
      <c r="G62" s="8">
        <v>60</v>
      </c>
      <c r="H62" s="2">
        <v>23222603</v>
      </c>
      <c r="J62">
        <v>398</v>
      </c>
      <c r="K62">
        <v>17.2</v>
      </c>
      <c r="L62">
        <v>12.62</v>
      </c>
      <c r="M62" s="10">
        <v>492.8</v>
      </c>
      <c r="N62" s="10">
        <v>538.9</v>
      </c>
      <c r="O62" s="11">
        <v>584</v>
      </c>
      <c r="P62" s="10" cm="1">
        <f t="array" ref="P62">INTERCEPT(M62:O62,M$1:O$1)</f>
        <v>401.766666666667</v>
      </c>
      <c r="Q62" s="10" cm="1">
        <f t="array" ref="Q62">SLOPE(M62:O62,M$1:O$1)</f>
        <v>9.12</v>
      </c>
      <c r="R62" s="11">
        <f t="shared" si="4"/>
        <v>53.3571693056483</v>
      </c>
      <c r="S62" s="11">
        <f t="shared" si="5"/>
        <v>66.5191187487707</v>
      </c>
    </row>
    <row r="63" spans="1:19">
      <c r="A63" s="5">
        <v>62</v>
      </c>
      <c r="B63" s="6">
        <v>36007522340</v>
      </c>
      <c r="C63" s="7">
        <v>0.19</v>
      </c>
      <c r="D63" s="6">
        <v>255683667036.134</v>
      </c>
      <c r="E63" s="7">
        <v>0.45</v>
      </c>
      <c r="F63" s="6">
        <v>15833341</v>
      </c>
      <c r="G63" s="8">
        <v>23</v>
      </c>
      <c r="H63" s="2">
        <v>20728458</v>
      </c>
      <c r="J63">
        <v>78</v>
      </c>
      <c r="K63">
        <v>18.8</v>
      </c>
      <c r="L63">
        <v>7.32</v>
      </c>
      <c r="M63" s="10">
        <v>66.5</v>
      </c>
      <c r="N63" s="10">
        <v>63.9</v>
      </c>
      <c r="O63" s="11">
        <v>61.2</v>
      </c>
      <c r="P63" s="10" cm="1">
        <f t="array" ref="P63">INTERCEPT(M63:O63,M$1:O$1)</f>
        <v>71.8166666666667</v>
      </c>
      <c r="Q63" s="10" cm="1">
        <f t="array" ref="Q63">SLOPE(M63:O63,M$1:O$1)</f>
        <v>-0.53</v>
      </c>
      <c r="R63" s="11" t="e">
        <f t="shared" si="4"/>
        <v>#NUM!</v>
      </c>
      <c r="S63" s="11" t="e">
        <f t="shared" si="5"/>
        <v>#NUM!</v>
      </c>
    </row>
    <row r="64" spans="1:19">
      <c r="A64" s="1">
        <v>63</v>
      </c>
      <c r="B64" s="6">
        <v>52862514290</v>
      </c>
      <c r="C64" s="7">
        <v>0.4</v>
      </c>
      <c r="D64" s="6">
        <v>358709918396.429</v>
      </c>
      <c r="E64" s="7">
        <v>0.57</v>
      </c>
      <c r="F64" s="6">
        <v>39975115</v>
      </c>
      <c r="G64" s="8">
        <v>10</v>
      </c>
      <c r="H64" s="2">
        <v>5976919</v>
      </c>
      <c r="J64">
        <v>119</v>
      </c>
      <c r="K64">
        <v>32.5</v>
      </c>
      <c r="L64">
        <v>3.74</v>
      </c>
      <c r="M64" s="10">
        <v>95</v>
      </c>
      <c r="N64" s="10">
        <v>89</v>
      </c>
      <c r="O64" s="11">
        <v>84</v>
      </c>
      <c r="P64" s="10" cm="1">
        <f t="array" ref="P64">INTERCEPT(M64:O64,M$1:O$1)</f>
        <v>105.833333333333</v>
      </c>
      <c r="Q64" s="10" cm="1">
        <f t="array" ref="Q64">SLOPE(M64:O64,M$1:O$1)</f>
        <v>-1.1</v>
      </c>
      <c r="R64" s="11" t="e">
        <f t="shared" si="4"/>
        <v>#NUM!</v>
      </c>
      <c r="S64" s="11" t="e">
        <f t="shared" si="5"/>
        <v>#NUM!</v>
      </c>
    </row>
    <row r="65" spans="1:19">
      <c r="A65" s="5">
        <v>64</v>
      </c>
      <c r="B65" s="6">
        <v>73870495941</v>
      </c>
      <c r="C65" s="7">
        <v>0.1</v>
      </c>
      <c r="D65" s="6">
        <v>537239970480</v>
      </c>
      <c r="E65" s="7">
        <v>0.13</v>
      </c>
      <c r="F65" s="6">
        <v>10169087</v>
      </c>
      <c r="G65" s="8">
        <v>15</v>
      </c>
      <c r="H65" s="2">
        <v>9730316</v>
      </c>
      <c r="J65">
        <v>46</v>
      </c>
      <c r="K65">
        <v>27.2</v>
      </c>
      <c r="L65">
        <v>2.32</v>
      </c>
      <c r="M65" s="10">
        <v>33</v>
      </c>
      <c r="N65" s="10">
        <v>30.4</v>
      </c>
      <c r="O65" s="11">
        <v>28</v>
      </c>
      <c r="P65" s="10" cm="1">
        <f t="array" ref="P65">INTERCEPT(M65:O65,M$1:O$1)</f>
        <v>37.9666666666667</v>
      </c>
      <c r="Q65" s="10" cm="1">
        <f t="array" ref="Q65">SLOPE(M65:O65,M$1:O$1)</f>
        <v>-0.5</v>
      </c>
      <c r="R65" s="11" t="e">
        <f t="shared" si="4"/>
        <v>#NUM!</v>
      </c>
      <c r="S65" s="11" t="e">
        <f t="shared" si="5"/>
        <v>#NUM!</v>
      </c>
    </row>
    <row r="66" spans="1:19">
      <c r="A66" s="1">
        <v>65</v>
      </c>
      <c r="B66" s="6">
        <v>37418833678</v>
      </c>
      <c r="C66" s="7">
        <v>0.12</v>
      </c>
      <c r="D66" s="6">
        <v>270618350706.964</v>
      </c>
      <c r="E66" s="7">
        <v>0.35</v>
      </c>
      <c r="F66" s="6">
        <v>20251536</v>
      </c>
      <c r="G66" s="8">
        <v>43</v>
      </c>
      <c r="H66" s="2">
        <v>15645345</v>
      </c>
      <c r="J66">
        <v>140</v>
      </c>
      <c r="K66">
        <v>16.9</v>
      </c>
      <c r="L66">
        <v>8.2</v>
      </c>
      <c r="M66" s="10">
        <v>170.1</v>
      </c>
      <c r="N66" s="10">
        <v>185</v>
      </c>
      <c r="O66" s="11">
        <v>198.2</v>
      </c>
      <c r="P66" s="10" cm="1">
        <f t="array" ref="P66">INTERCEPT(M66:O66,M$1:O$1)</f>
        <v>142.283333333333</v>
      </c>
      <c r="Q66" s="10" cm="1">
        <f t="array" ref="Q66">SLOPE(M66:O66,M$1:O$1)</f>
        <v>2.81</v>
      </c>
      <c r="R66" s="11">
        <f t="shared" si="4"/>
        <v>28.3636229005557</v>
      </c>
      <c r="S66" s="11">
        <f t="shared" si="5"/>
        <v>42.4395602733596</v>
      </c>
    </row>
    <row r="67" spans="1:19">
      <c r="A67" s="5">
        <v>66</v>
      </c>
      <c r="B67" s="6">
        <v>40923151454</v>
      </c>
      <c r="C67" s="7">
        <v>0.26</v>
      </c>
      <c r="D67" s="6">
        <v>285812486345.397</v>
      </c>
      <c r="E67" s="7">
        <v>0.53</v>
      </c>
      <c r="F67" s="6">
        <v>13925463</v>
      </c>
      <c r="G67" s="8">
        <v>45</v>
      </c>
      <c r="H67" s="2">
        <v>12263283</v>
      </c>
      <c r="J67">
        <v>118.5</v>
      </c>
      <c r="K67">
        <v>21.2</v>
      </c>
      <c r="L67">
        <v>6.29</v>
      </c>
      <c r="M67" s="10">
        <v>156.4</v>
      </c>
      <c r="N67" s="10">
        <v>178.2</v>
      </c>
      <c r="O67" s="11">
        <v>195.8</v>
      </c>
      <c r="P67" s="10" cm="1">
        <f t="array" ref="P67">INTERCEPT(M67:O67,M$1:O$1)</f>
        <v>117.7</v>
      </c>
      <c r="Q67" s="10" cm="1">
        <f t="array" ref="Q67">SLOPE(M67:O67,M$1:O$1)</f>
        <v>3.94</v>
      </c>
      <c r="R67" s="11">
        <f t="shared" si="4"/>
        <v>36.5227348815603</v>
      </c>
      <c r="S67" s="11">
        <f t="shared" si="5"/>
        <v>29.6482016814538</v>
      </c>
    </row>
    <row r="68" spans="1:19">
      <c r="A68" s="5">
        <v>67</v>
      </c>
      <c r="B68" s="6">
        <v>31196862726</v>
      </c>
      <c r="C68" s="7">
        <v>0.23</v>
      </c>
      <c r="D68" s="6">
        <v>219392571203.171</v>
      </c>
      <c r="E68" s="7">
        <v>0.27</v>
      </c>
      <c r="F68" s="6">
        <v>17332423</v>
      </c>
      <c r="G68" s="8">
        <v>46</v>
      </c>
      <c r="H68" s="2">
        <v>18799888</v>
      </c>
      <c r="J68">
        <v>135</v>
      </c>
      <c r="K68">
        <v>14</v>
      </c>
      <c r="L68">
        <v>8.67</v>
      </c>
      <c r="M68" s="10">
        <v>164.5</v>
      </c>
      <c r="N68" s="10">
        <v>180.1</v>
      </c>
      <c r="O68" s="11">
        <v>198.1</v>
      </c>
      <c r="P68" s="10" cm="1">
        <f t="array" ref="P68">INTERCEPT(M68:O68,M$1:O$1)</f>
        <v>130.5</v>
      </c>
      <c r="Q68" s="10" cm="1">
        <f t="array" ref="Q68">SLOPE(M68:O68,M$1:O$1)</f>
        <v>3.36</v>
      </c>
      <c r="R68" s="11">
        <f t="shared" ref="R68:R89" si="6">ASIN((Q68-1)/(Q68+1))/3.1415926*180</f>
        <v>32.7711171993341</v>
      </c>
      <c r="S68" s="11">
        <f t="shared" ref="S68:S89" si="7">P68*(1-SIN(R68/180*3.1415926))/2/COS(R68/180*3.1415926)</f>
        <v>35.5967933447463</v>
      </c>
    </row>
    <row r="69" spans="1:19">
      <c r="A69" s="1">
        <v>68</v>
      </c>
      <c r="B69" s="6">
        <v>13908080680</v>
      </c>
      <c r="C69" s="7">
        <v>0.22</v>
      </c>
      <c r="D69" s="6">
        <v>98040568727.8688</v>
      </c>
      <c r="E69" s="7">
        <v>0.28</v>
      </c>
      <c r="F69" s="6">
        <v>35997160</v>
      </c>
      <c r="G69" s="8">
        <v>16</v>
      </c>
      <c r="H69" s="2">
        <v>26210931</v>
      </c>
      <c r="J69">
        <v>117</v>
      </c>
      <c r="K69">
        <v>6.45</v>
      </c>
      <c r="L69">
        <v>12.13</v>
      </c>
      <c r="M69" s="10">
        <v>108.5</v>
      </c>
      <c r="N69" s="10">
        <v>103.6</v>
      </c>
      <c r="O69" s="11">
        <v>99.4</v>
      </c>
      <c r="P69" s="10" cm="1">
        <f t="array" ref="P69">INTERCEPT(M69:O69,M$1:O$1)</f>
        <v>117.483333333333</v>
      </c>
      <c r="Q69" s="10" cm="1">
        <f t="array" ref="Q69">SLOPE(M69:O69,M$1:O$1)</f>
        <v>-0.909999999999999</v>
      </c>
      <c r="R69" s="11" t="e">
        <f t="shared" si="6"/>
        <v>#NUM!</v>
      </c>
      <c r="S69" s="11" t="e">
        <f t="shared" si="7"/>
        <v>#NUM!</v>
      </c>
    </row>
    <row r="70" spans="1:19">
      <c r="A70" s="5">
        <v>69</v>
      </c>
      <c r="B70" s="6">
        <v>44327854006</v>
      </c>
      <c r="C70" s="7">
        <v>0.25</v>
      </c>
      <c r="D70" s="6">
        <v>310294978042</v>
      </c>
      <c r="E70" s="7">
        <v>0.24</v>
      </c>
      <c r="F70" s="6">
        <v>38128932</v>
      </c>
      <c r="G70" s="8">
        <v>38</v>
      </c>
      <c r="H70" s="2">
        <v>9699244</v>
      </c>
      <c r="J70">
        <v>188</v>
      </c>
      <c r="K70">
        <v>19.9</v>
      </c>
      <c r="L70">
        <v>5.78</v>
      </c>
      <c r="M70" s="10">
        <v>221.5</v>
      </c>
      <c r="N70" s="10">
        <v>231.9</v>
      </c>
      <c r="O70" s="11">
        <v>239</v>
      </c>
      <c r="P70" s="10" cm="1">
        <f t="array" ref="P70">INTERCEPT(M70:O70,M$1:O$1)</f>
        <v>204.55</v>
      </c>
      <c r="Q70" s="10" cm="1">
        <f t="array" ref="Q70">SLOPE(M70:O70,M$1:O$1)</f>
        <v>1.75</v>
      </c>
      <c r="R70" s="11">
        <f t="shared" si="6"/>
        <v>15.8266204018454</v>
      </c>
      <c r="S70" s="11">
        <f t="shared" si="7"/>
        <v>77.3126329540374</v>
      </c>
    </row>
    <row r="71" spans="1:19">
      <c r="A71" s="1">
        <v>70</v>
      </c>
      <c r="B71" s="6">
        <v>2060835368</v>
      </c>
      <c r="C71" s="7">
        <v>0.17</v>
      </c>
      <c r="D71" s="6">
        <v>14707671216.0684</v>
      </c>
      <c r="E71" s="7">
        <v>0.15</v>
      </c>
      <c r="F71" s="6">
        <v>6870291</v>
      </c>
      <c r="G71" s="8">
        <v>58</v>
      </c>
      <c r="H71" s="2">
        <v>25495202</v>
      </c>
      <c r="M71" s="10">
        <v>-20</v>
      </c>
      <c r="N71" s="10">
        <v>-30</v>
      </c>
      <c r="O71" s="11">
        <v>-40</v>
      </c>
      <c r="P71" s="10"/>
      <c r="Q71" s="10"/>
      <c r="R71" s="11"/>
      <c r="S71" s="11"/>
    </row>
    <row r="72" spans="1:19">
      <c r="A72" s="5">
        <v>71</v>
      </c>
      <c r="B72" s="6">
        <v>71516993703</v>
      </c>
      <c r="C72" s="7">
        <v>0.31</v>
      </c>
      <c r="D72" s="6">
        <v>494067780925.305</v>
      </c>
      <c r="E72" s="7">
        <v>0.12</v>
      </c>
      <c r="F72" s="6">
        <v>11816545</v>
      </c>
      <c r="G72" s="8">
        <v>33</v>
      </c>
      <c r="H72" s="2">
        <v>16549828</v>
      </c>
      <c r="J72">
        <v>77.7</v>
      </c>
      <c r="K72">
        <v>30</v>
      </c>
      <c r="L72">
        <v>6.56</v>
      </c>
      <c r="M72" s="10">
        <v>90</v>
      </c>
      <c r="N72" s="10">
        <v>97.7</v>
      </c>
      <c r="O72" s="11">
        <v>104.6</v>
      </c>
      <c r="P72" s="10" cm="1">
        <f t="array" ref="P72">INTERCEPT(M72:O72,M$1:O$1)</f>
        <v>75.5333333333333</v>
      </c>
      <c r="Q72" s="10" cm="1">
        <f t="array" ref="Q72">SLOPE(M72:O72,M$1:O$1)</f>
        <v>1.46</v>
      </c>
      <c r="R72" s="11">
        <f t="shared" si="6"/>
        <v>10.777285145426</v>
      </c>
      <c r="S72" s="11">
        <f t="shared" si="7"/>
        <v>31.2559157262161</v>
      </c>
    </row>
    <row r="73" spans="1:19">
      <c r="A73" s="5">
        <v>72</v>
      </c>
      <c r="B73" s="6">
        <v>61719212343</v>
      </c>
      <c r="C73" s="7">
        <v>0.4</v>
      </c>
      <c r="D73" s="6">
        <v>418808940898.929</v>
      </c>
      <c r="E73" s="7">
        <v>0.58</v>
      </c>
      <c r="F73" s="6">
        <v>32980363</v>
      </c>
      <c r="G73" s="8">
        <v>11</v>
      </c>
      <c r="H73" s="2">
        <v>21364093</v>
      </c>
      <c r="J73">
        <v>108</v>
      </c>
      <c r="K73">
        <v>37.7</v>
      </c>
      <c r="L73">
        <v>7.61</v>
      </c>
      <c r="M73" s="10">
        <v>86.3</v>
      </c>
      <c r="N73" s="10">
        <v>85</v>
      </c>
      <c r="O73" s="11">
        <v>78.8</v>
      </c>
      <c r="P73" s="10" cm="1">
        <f t="array" ref="P73">INTERCEPT(M73:O73,M$1:O$1)</f>
        <v>94.6166666666667</v>
      </c>
      <c r="Q73" s="10" cm="1">
        <f t="array" ref="Q73">SLOPE(M73:O73,M$1:O$1)</f>
        <v>-0.75</v>
      </c>
      <c r="R73" s="11" t="e">
        <f t="shared" si="6"/>
        <v>#NUM!</v>
      </c>
      <c r="S73" s="11" t="e">
        <f t="shared" si="7"/>
        <v>#NUM!</v>
      </c>
    </row>
    <row r="74" spans="1:19">
      <c r="A74" s="1">
        <v>73</v>
      </c>
      <c r="B74" s="6">
        <v>18321580182</v>
      </c>
      <c r="C74" s="7">
        <v>0.24</v>
      </c>
      <c r="D74" s="6">
        <v>128546570631.774</v>
      </c>
      <c r="E74" s="7">
        <v>0.55</v>
      </c>
      <c r="F74" s="6">
        <v>25001589</v>
      </c>
      <c r="G74" s="8">
        <v>16</v>
      </c>
      <c r="H74" s="2">
        <v>17691838</v>
      </c>
      <c r="J74">
        <v>88.7</v>
      </c>
      <c r="K74">
        <v>9.24</v>
      </c>
      <c r="L74">
        <v>7.18</v>
      </c>
      <c r="M74" s="10">
        <v>74.6</v>
      </c>
      <c r="N74" s="10">
        <v>71.5</v>
      </c>
      <c r="O74" s="11">
        <v>66.8</v>
      </c>
      <c r="P74" s="10" cm="1">
        <f t="array" ref="P74">INTERCEPT(M74:O74,M$1:O$1)</f>
        <v>82.6666666666667</v>
      </c>
      <c r="Q74" s="10" cm="1">
        <f t="array" ref="Q74">SLOPE(M74:O74,M$1:O$1)</f>
        <v>-0.78</v>
      </c>
      <c r="R74" s="11" t="e">
        <f t="shared" si="6"/>
        <v>#NUM!</v>
      </c>
      <c r="S74" s="11" t="e">
        <f t="shared" si="7"/>
        <v>#NUM!</v>
      </c>
    </row>
    <row r="75" spans="1:19">
      <c r="A75" s="5">
        <v>74</v>
      </c>
      <c r="B75" s="6">
        <v>54851899866</v>
      </c>
      <c r="C75" s="7">
        <v>0.11</v>
      </c>
      <c r="D75" s="6">
        <v>397799814343.513</v>
      </c>
      <c r="E75" s="7">
        <v>0.15</v>
      </c>
      <c r="F75" s="6">
        <v>7806229</v>
      </c>
      <c r="G75" s="8">
        <v>35</v>
      </c>
      <c r="H75" s="2">
        <v>9403226</v>
      </c>
      <c r="J75">
        <v>59.1</v>
      </c>
      <c r="K75">
        <v>21.3</v>
      </c>
      <c r="L75">
        <v>4.15</v>
      </c>
      <c r="M75" s="10">
        <v>73.2</v>
      </c>
      <c r="N75" s="10">
        <v>83.3</v>
      </c>
      <c r="O75" s="11">
        <v>91.6</v>
      </c>
      <c r="P75" s="10" cm="1">
        <f t="array" ref="P75">INTERCEPT(M75:O75,M$1:O$1)</f>
        <v>55.1</v>
      </c>
      <c r="Q75" s="10" cm="1">
        <f t="array" ref="Q75">SLOPE(M75:O75,M$1:O$1)</f>
        <v>1.84</v>
      </c>
      <c r="R75" s="11">
        <f t="shared" si="6"/>
        <v>17.2039947485646</v>
      </c>
      <c r="S75" s="11">
        <f t="shared" si="7"/>
        <v>20.3101294603371</v>
      </c>
    </row>
    <row r="76" spans="1:19">
      <c r="A76" s="1">
        <v>75</v>
      </c>
      <c r="B76" s="6">
        <v>9477813774</v>
      </c>
      <c r="C76" s="7">
        <v>0.35</v>
      </c>
      <c r="D76" s="6">
        <v>64940575858.8889</v>
      </c>
      <c r="E76" s="7">
        <v>0.22</v>
      </c>
      <c r="F76" s="6">
        <v>1119316</v>
      </c>
      <c r="G76" s="8">
        <v>47</v>
      </c>
      <c r="H76" s="2">
        <v>17716816</v>
      </c>
      <c r="J76">
        <v>31.2</v>
      </c>
      <c r="K76">
        <v>3.87</v>
      </c>
      <c r="L76">
        <v>1.77</v>
      </c>
      <c r="M76" s="10">
        <v>59.4</v>
      </c>
      <c r="N76" s="10">
        <v>70</v>
      </c>
      <c r="O76" s="11">
        <v>82</v>
      </c>
      <c r="P76" s="10" cm="1">
        <f t="array" ref="P76">INTERCEPT(M76:O76,M$1:O$1)</f>
        <v>36.5666666666667</v>
      </c>
      <c r="Q76" s="10" cm="1">
        <f t="array" ref="Q76">SLOPE(M76:O76,M$1:O$1)</f>
        <v>2.26</v>
      </c>
      <c r="R76" s="11">
        <f t="shared" si="6"/>
        <v>22.737084662302</v>
      </c>
      <c r="S76" s="11">
        <f t="shared" si="7"/>
        <v>12.1618924240967</v>
      </c>
    </row>
    <row r="77" spans="1:19">
      <c r="A77" s="5">
        <v>76</v>
      </c>
      <c r="B77" s="6">
        <v>75606869079</v>
      </c>
      <c r="C77" s="7">
        <v>0.32</v>
      </c>
      <c r="D77" s="6">
        <v>521229173196.136</v>
      </c>
      <c r="E77" s="7">
        <v>0.52</v>
      </c>
      <c r="F77" s="6">
        <v>7745539</v>
      </c>
      <c r="G77" s="8">
        <v>46</v>
      </c>
      <c r="H77" s="2">
        <v>1543599</v>
      </c>
      <c r="J77">
        <v>100.6</v>
      </c>
      <c r="K77">
        <v>35.7</v>
      </c>
      <c r="L77">
        <v>1.03</v>
      </c>
      <c r="M77" s="10">
        <v>153.1</v>
      </c>
      <c r="N77" s="10">
        <v>183.6</v>
      </c>
      <c r="O77" s="11">
        <v>216.2</v>
      </c>
      <c r="P77" s="10" cm="1">
        <f t="array" ref="P77">INTERCEPT(M77:O77,M$1:O$1)</f>
        <v>89.65</v>
      </c>
      <c r="Q77" s="10" cm="1">
        <f t="array" ref="Q77">SLOPE(M77:O77,M$1:O$1)</f>
        <v>6.31</v>
      </c>
      <c r="R77" s="11">
        <f t="shared" si="6"/>
        <v>46.5856195258608</v>
      </c>
      <c r="S77" s="11">
        <f t="shared" si="7"/>
        <v>17.8445507447982</v>
      </c>
    </row>
    <row r="78" spans="1:19">
      <c r="A78" s="5">
        <v>77</v>
      </c>
      <c r="B78" s="6">
        <v>34021712302</v>
      </c>
      <c r="C78" s="7">
        <v>0.25</v>
      </c>
      <c r="D78" s="6">
        <v>238151986114</v>
      </c>
      <c r="E78" s="7">
        <v>0.28</v>
      </c>
      <c r="F78" s="6">
        <v>33363264</v>
      </c>
      <c r="G78" s="8">
        <v>31</v>
      </c>
      <c r="H78" s="2">
        <v>3397615</v>
      </c>
      <c r="J78">
        <v>137</v>
      </c>
      <c r="K78">
        <v>15.67</v>
      </c>
      <c r="L78">
        <v>1.98</v>
      </c>
      <c r="M78" s="10">
        <v>153.7</v>
      </c>
      <c r="N78" s="10">
        <v>158.1</v>
      </c>
      <c r="O78" s="11">
        <v>161.5</v>
      </c>
      <c r="P78" s="10" cm="1">
        <f t="array" ref="P78">INTERCEPT(M78:O78,M$1:O$1)</f>
        <v>146.066666666667</v>
      </c>
      <c r="Q78" s="10" cm="1">
        <f t="array" ref="Q78">SLOPE(M78:O78,M$1:O$1)</f>
        <v>0.780000000000001</v>
      </c>
      <c r="R78" s="11">
        <f t="shared" si="6"/>
        <v>-7.09965535744699</v>
      </c>
      <c r="S78" s="11">
        <f t="shared" si="7"/>
        <v>82.6939660603602</v>
      </c>
    </row>
    <row r="79" spans="1:19">
      <c r="A79" s="1">
        <v>78</v>
      </c>
      <c r="B79" s="6">
        <v>9098079086</v>
      </c>
      <c r="C79" s="7">
        <v>0.32</v>
      </c>
      <c r="D79" s="6">
        <v>62721605820.1515</v>
      </c>
      <c r="E79" s="7">
        <v>0.31</v>
      </c>
      <c r="F79" s="6">
        <v>22663987</v>
      </c>
      <c r="G79" s="8">
        <v>19</v>
      </c>
      <c r="H79" s="2">
        <v>19101562</v>
      </c>
      <c r="J79">
        <v>78.6</v>
      </c>
      <c r="K79">
        <v>4.37</v>
      </c>
      <c r="L79">
        <v>6.11</v>
      </c>
      <c r="M79" s="10">
        <v>72.4</v>
      </c>
      <c r="N79" s="10">
        <v>68.8</v>
      </c>
      <c r="O79" s="11">
        <v>65.1</v>
      </c>
      <c r="P79" s="10" cm="1">
        <f t="array" ref="P79">INTERCEPT(M79:O79,M$1:O$1)</f>
        <v>79.7166666666667</v>
      </c>
      <c r="Q79" s="10" cm="1">
        <f t="array" ref="Q79">SLOPE(M79:O79,M$1:O$1)</f>
        <v>-0.730000000000001</v>
      </c>
      <c r="R79" s="11" t="e">
        <f t="shared" si="6"/>
        <v>#NUM!</v>
      </c>
      <c r="S79" s="11" t="e">
        <f t="shared" si="7"/>
        <v>#NUM!</v>
      </c>
    </row>
    <row r="80" spans="1:19">
      <c r="A80" s="5">
        <v>79</v>
      </c>
      <c r="B80" s="6">
        <v>51510891796</v>
      </c>
      <c r="C80" s="7">
        <v>0.14</v>
      </c>
      <c r="D80" s="6">
        <v>370516940988.772</v>
      </c>
      <c r="E80" s="7">
        <v>0.12</v>
      </c>
      <c r="F80" s="6">
        <v>36726057</v>
      </c>
      <c r="G80" s="8">
        <v>57</v>
      </c>
      <c r="H80" s="2">
        <v>10774491</v>
      </c>
      <c r="J80">
        <v>291</v>
      </c>
      <c r="K80">
        <v>20.14</v>
      </c>
      <c r="L80">
        <v>6.23</v>
      </c>
      <c r="M80" s="10">
        <v>341.4</v>
      </c>
      <c r="N80" s="10">
        <v>406</v>
      </c>
      <c r="O80" s="11">
        <v>424.6</v>
      </c>
      <c r="P80" s="10" cm="1">
        <f t="array" ref="P80">INTERCEPT(M80:O80,M$1:O$1)</f>
        <v>265.866666666667</v>
      </c>
      <c r="Q80" s="10" cm="1">
        <f t="array" ref="Q80">SLOPE(M80:O80,M$1:O$1)</f>
        <v>8.32</v>
      </c>
      <c r="R80" s="11">
        <f t="shared" si="6"/>
        <v>51.7584044899506</v>
      </c>
      <c r="S80" s="11">
        <f t="shared" si="7"/>
        <v>46.0863413030461</v>
      </c>
    </row>
    <row r="81" spans="1:19">
      <c r="A81" s="1">
        <v>80</v>
      </c>
      <c r="B81" s="6">
        <v>24704099600</v>
      </c>
      <c r="C81" s="7">
        <v>0.18</v>
      </c>
      <c r="D81" s="6">
        <v>175859692067.797</v>
      </c>
      <c r="E81" s="7">
        <v>0.15</v>
      </c>
      <c r="F81" s="6">
        <v>18219419</v>
      </c>
      <c r="G81" s="8">
        <v>15</v>
      </c>
      <c r="H81" s="2">
        <v>15285765</v>
      </c>
      <c r="J81">
        <v>65.6</v>
      </c>
      <c r="K81">
        <v>10.7</v>
      </c>
      <c r="L81" s="13">
        <v>5.6</v>
      </c>
      <c r="M81" s="10">
        <v>53.7</v>
      </c>
      <c r="N81" s="10">
        <v>49.4</v>
      </c>
      <c r="O81" s="11">
        <v>47</v>
      </c>
      <c r="P81" s="10" cm="1">
        <f t="array" ref="P81">INTERCEPT(M81:O81,M$1:O$1)</f>
        <v>60.0833333333333</v>
      </c>
      <c r="Q81" s="10" cm="1">
        <f t="array" ref="Q81">SLOPE(M81:O81,M$1:O$1)</f>
        <v>-0.67</v>
      </c>
      <c r="R81" s="11" t="e">
        <f t="shared" si="6"/>
        <v>#NUM!</v>
      </c>
      <c r="S81" s="11" t="e">
        <f t="shared" si="7"/>
        <v>#NUM!</v>
      </c>
    </row>
    <row r="82" spans="1:19">
      <c r="A82" s="5">
        <v>81</v>
      </c>
      <c r="B82" s="6">
        <v>69498207383</v>
      </c>
      <c r="C82" s="7">
        <v>0.22</v>
      </c>
      <c r="D82" s="6">
        <v>489905396306.393</v>
      </c>
      <c r="E82" s="7">
        <v>0.19</v>
      </c>
      <c r="F82" s="6">
        <v>22319009</v>
      </c>
      <c r="G82" s="8">
        <v>34</v>
      </c>
      <c r="H82" s="2">
        <v>22655359</v>
      </c>
      <c r="J82">
        <v>128</v>
      </c>
      <c r="K82">
        <v>29.8</v>
      </c>
      <c r="L82">
        <v>9.97</v>
      </c>
      <c r="M82">
        <v>144.3</v>
      </c>
      <c r="N82" s="10">
        <v>151.7</v>
      </c>
      <c r="O82" s="11">
        <v>158.7</v>
      </c>
      <c r="P82" s="10" cm="1">
        <f t="array" ref="P82">INTERCEPT(M82:O82,M$1:O$1)</f>
        <v>129.966666666667</v>
      </c>
      <c r="Q82" s="10" cm="1">
        <f t="array" ref="Q82">SLOPE(M82:O82,M$1:O$1)</f>
        <v>1.44</v>
      </c>
      <c r="R82" s="11">
        <f t="shared" si="6"/>
        <v>10.3888579926844</v>
      </c>
      <c r="S82" s="11">
        <f t="shared" si="7"/>
        <v>54.1527777777778</v>
      </c>
    </row>
    <row r="83" spans="1:19">
      <c r="A83" s="5">
        <v>82</v>
      </c>
      <c r="B83" s="6">
        <v>46401453802</v>
      </c>
      <c r="C83" s="7">
        <v>0.13</v>
      </c>
      <c r="D83" s="6">
        <v>334665352642.743</v>
      </c>
      <c r="E83" s="7">
        <v>0.32</v>
      </c>
      <c r="F83" s="6">
        <v>2885908</v>
      </c>
      <c r="G83" s="8">
        <v>42</v>
      </c>
      <c r="H83" s="2">
        <v>29449173</v>
      </c>
      <c r="J83">
        <v>67.9</v>
      </c>
      <c r="K83">
        <v>14.1</v>
      </c>
      <c r="L83">
        <v>3.15</v>
      </c>
      <c r="M83" s="10">
        <v>93.8</v>
      </c>
      <c r="N83" s="10">
        <v>106.7</v>
      </c>
      <c r="O83" s="11">
        <v>119.7</v>
      </c>
      <c r="P83" s="10" cm="1">
        <f t="array" ref="P83">INTERCEPT(M83:O83,M$1:O$1)</f>
        <v>67.8833333333333</v>
      </c>
      <c r="Q83" s="10" cm="1">
        <f t="array" ref="Q83">SLOPE(M83:O83,M$1:O$1)</f>
        <v>2.59</v>
      </c>
      <c r="R83" s="11">
        <f t="shared" si="6"/>
        <v>26.2888640943133</v>
      </c>
      <c r="S83" s="11">
        <f t="shared" si="7"/>
        <v>21.0903254743574</v>
      </c>
    </row>
    <row r="84" spans="1:19">
      <c r="A84" s="1">
        <v>83</v>
      </c>
      <c r="B84" s="6">
        <v>10696381793</v>
      </c>
      <c r="C84" s="7">
        <v>0.21</v>
      </c>
      <c r="D84" s="6">
        <v>75581871347.2314</v>
      </c>
      <c r="E84" s="7">
        <v>0.11</v>
      </c>
      <c r="F84" s="6">
        <v>18136576</v>
      </c>
      <c r="G84" s="8">
        <v>23</v>
      </c>
      <c r="H84" s="2">
        <v>6518476</v>
      </c>
      <c r="J84">
        <v>65.7</v>
      </c>
      <c r="K84">
        <v>43.4</v>
      </c>
      <c r="L84">
        <v>3.56</v>
      </c>
      <c r="M84" s="10">
        <v>62.4</v>
      </c>
      <c r="N84" s="10">
        <v>60.1</v>
      </c>
      <c r="O84" s="11">
        <v>57.7</v>
      </c>
      <c r="P84" s="10" cm="1">
        <f t="array" ref="P84">INTERCEPT(M84:O84,M$1:O$1)</f>
        <v>67.1166666666667</v>
      </c>
      <c r="Q84" s="10" cm="1">
        <f t="array" ref="Q84">SLOPE(M84:O84,M$1:O$1)</f>
        <v>-0.47</v>
      </c>
      <c r="R84" s="11" t="e">
        <f t="shared" si="6"/>
        <v>#NUM!</v>
      </c>
      <c r="S84" s="11" t="e">
        <f t="shared" si="7"/>
        <v>#NUM!</v>
      </c>
    </row>
    <row r="85" spans="1:19">
      <c r="A85" s="5">
        <v>84</v>
      </c>
      <c r="B85" s="6">
        <v>47440097122</v>
      </c>
      <c r="C85" s="7">
        <v>0.3</v>
      </c>
      <c r="D85" s="6">
        <v>328431441613.846</v>
      </c>
      <c r="E85" s="7">
        <v>0.44</v>
      </c>
      <c r="F85" s="6">
        <v>1192498</v>
      </c>
      <c r="G85" s="8">
        <v>14</v>
      </c>
      <c r="H85" s="2">
        <v>11853537</v>
      </c>
      <c r="J85">
        <v>20</v>
      </c>
      <c r="K85">
        <v>42.5</v>
      </c>
      <c r="L85">
        <v>0.6</v>
      </c>
      <c r="M85" s="10">
        <v>2.3</v>
      </c>
      <c r="N85" s="10">
        <v>-3</v>
      </c>
      <c r="O85" s="11">
        <v>-8</v>
      </c>
      <c r="P85" s="10" cm="1">
        <f t="array" ref="P85">INTERCEPT(M85:O85,M$1:O$1)</f>
        <v>12.55</v>
      </c>
      <c r="Q85" s="10" cm="1">
        <f t="array" ref="Q85">SLOPE(M85:O85,M$1:O$1)</f>
        <v>-1.03</v>
      </c>
      <c r="R85" s="11" t="e">
        <f t="shared" si="6"/>
        <v>#NUM!</v>
      </c>
      <c r="S85" s="11" t="e">
        <f t="shared" si="7"/>
        <v>#NUM!</v>
      </c>
    </row>
    <row r="86" spans="1:19">
      <c r="A86" s="1">
        <v>85</v>
      </c>
      <c r="B86" s="6">
        <v>15792426428</v>
      </c>
      <c r="C86" s="7">
        <v>0.37</v>
      </c>
      <c r="D86" s="6">
        <v>107780428541.46</v>
      </c>
      <c r="E86" s="7">
        <v>0.12</v>
      </c>
      <c r="F86" s="6">
        <v>40150956</v>
      </c>
      <c r="G86" s="8">
        <v>44</v>
      </c>
      <c r="H86" s="2">
        <v>10925900</v>
      </c>
      <c r="M86">
        <v>-20</v>
      </c>
      <c r="N86" s="10">
        <v>-30</v>
      </c>
      <c r="O86" s="10">
        <v>-40</v>
      </c>
      <c r="P86" s="10"/>
      <c r="Q86" s="10"/>
      <c r="R86" s="11"/>
      <c r="S86" s="11"/>
    </row>
    <row r="87" spans="1:19">
      <c r="A87" s="5">
        <v>86</v>
      </c>
      <c r="B87" s="6">
        <v>68722225151</v>
      </c>
      <c r="C87" s="7">
        <v>0.37</v>
      </c>
      <c r="D87" s="6">
        <v>469016646103.54</v>
      </c>
      <c r="E87" s="7">
        <v>0.35</v>
      </c>
      <c r="F87" s="6">
        <v>33195522</v>
      </c>
      <c r="G87" s="8">
        <v>23</v>
      </c>
      <c r="H87" s="2">
        <v>16581823</v>
      </c>
      <c r="J87">
        <v>133</v>
      </c>
      <c r="K87">
        <v>35.5</v>
      </c>
      <c r="L87">
        <v>6.33</v>
      </c>
      <c r="M87" s="10">
        <v>124.6</v>
      </c>
      <c r="N87" s="10">
        <v>127.8</v>
      </c>
      <c r="O87" s="11">
        <v>130.3</v>
      </c>
      <c r="P87" s="10" cm="1">
        <f t="array" ref="P87">INTERCEPT(M87:O87,M$1:O$1)</f>
        <v>119.016666666667</v>
      </c>
      <c r="Q87" s="10" cm="1">
        <f t="array" ref="Q87">SLOPE(M87:O87,M$1:O$1)</f>
        <v>0.570000000000002</v>
      </c>
      <c r="R87" s="11">
        <f t="shared" si="6"/>
        <v>-15.8955996077583</v>
      </c>
      <c r="S87" s="11">
        <f t="shared" si="7"/>
        <v>78.8207130150122</v>
      </c>
    </row>
    <row r="88" spans="1:19">
      <c r="A88" s="5">
        <v>87</v>
      </c>
      <c r="B88" s="6">
        <v>55980626554</v>
      </c>
      <c r="C88" s="7">
        <v>0.38</v>
      </c>
      <c r="D88" s="6">
        <v>381317311309.855</v>
      </c>
      <c r="E88" s="7">
        <v>0.49</v>
      </c>
      <c r="F88" s="6">
        <v>40710736</v>
      </c>
      <c r="G88" s="8">
        <v>24</v>
      </c>
      <c r="H88" s="2">
        <v>27776036</v>
      </c>
      <c r="J88">
        <v>170</v>
      </c>
      <c r="K88">
        <v>29.3</v>
      </c>
      <c r="L88">
        <v>12.51</v>
      </c>
      <c r="M88" s="10">
        <v>163.5</v>
      </c>
      <c r="N88" s="10">
        <v>164.1</v>
      </c>
      <c r="O88" s="11">
        <v>164.6</v>
      </c>
      <c r="P88" s="10" cm="1">
        <f t="array" ref="P88">INTERCEPT(M88:O88,M$1:O$1)</f>
        <v>162.416666666667</v>
      </c>
      <c r="Q88" s="10" cm="1">
        <f t="array" ref="Q88">SLOPE(M88:O88,M$1:O$1)</f>
        <v>0.109999999999999</v>
      </c>
      <c r="R88" s="11">
        <f t="shared" si="6"/>
        <v>-53.3025087717251</v>
      </c>
      <c r="S88" s="11">
        <f t="shared" si="7"/>
        <v>244.852337742526</v>
      </c>
    </row>
    <row r="89" spans="1:19">
      <c r="A89" s="1">
        <v>88</v>
      </c>
      <c r="B89" s="6">
        <v>31204304810</v>
      </c>
      <c r="C89" s="7">
        <v>0.35</v>
      </c>
      <c r="D89" s="6">
        <v>213807273698.148</v>
      </c>
      <c r="E89" s="7">
        <v>0.4</v>
      </c>
      <c r="F89" s="6">
        <v>45386976</v>
      </c>
      <c r="G89" s="8">
        <v>16</v>
      </c>
      <c r="H89" s="2">
        <v>25067214</v>
      </c>
      <c r="J89">
        <v>154</v>
      </c>
      <c r="K89">
        <v>15.7</v>
      </c>
      <c r="L89">
        <v>11.05</v>
      </c>
      <c r="M89" s="10">
        <v>142.8</v>
      </c>
      <c r="N89" s="10">
        <v>137</v>
      </c>
      <c r="O89" s="11">
        <v>132.8</v>
      </c>
      <c r="P89" s="10" cm="1">
        <f t="array" ref="P89">INTERCEPT(M89:O89,M$1:O$1)</f>
        <v>152.533333333333</v>
      </c>
      <c r="Q89" s="10" cm="1">
        <f t="array" ref="Q89">SLOPE(M89:O89,M$1:O$1)</f>
        <v>-1</v>
      </c>
      <c r="R89" s="11" t="e">
        <f t="shared" si="6"/>
        <v>#DIV/0!</v>
      </c>
      <c r="S89" s="11" t="e">
        <f t="shared" si="7"/>
        <v>#DIV/0!</v>
      </c>
    </row>
    <row r="90" spans="1:19">
      <c r="A90" s="5">
        <v>89</v>
      </c>
      <c r="B90" s="6">
        <v>10726181741</v>
      </c>
      <c r="C90" s="7">
        <v>0.29</v>
      </c>
      <c r="D90" s="6">
        <v>74418082621.6667</v>
      </c>
      <c r="E90" s="7">
        <v>0.18</v>
      </c>
      <c r="F90" s="6">
        <v>47155190</v>
      </c>
      <c r="G90" s="8">
        <v>18</v>
      </c>
      <c r="H90" s="2">
        <v>29877000</v>
      </c>
      <c r="M90" s="10">
        <v>-20</v>
      </c>
      <c r="N90" s="10">
        <v>-30</v>
      </c>
      <c r="O90" s="11">
        <v>-40</v>
      </c>
      <c r="P90" s="10"/>
      <c r="Q90" s="10"/>
      <c r="R90" s="11"/>
      <c r="S90" s="11"/>
    </row>
    <row r="91" spans="1:19">
      <c r="A91" s="1">
        <v>90</v>
      </c>
      <c r="B91" s="6">
        <v>19824402739</v>
      </c>
      <c r="C91" s="7">
        <v>0.22</v>
      </c>
      <c r="D91" s="6">
        <v>139745789799.508</v>
      </c>
      <c r="E91" s="7">
        <v>0.43</v>
      </c>
      <c r="F91" s="6">
        <v>35728333</v>
      </c>
      <c r="G91" s="8">
        <v>33</v>
      </c>
      <c r="H91" s="2">
        <v>19323878</v>
      </c>
      <c r="J91">
        <v>168</v>
      </c>
      <c r="K91">
        <v>9.35</v>
      </c>
      <c r="L91">
        <v>10.96</v>
      </c>
      <c r="M91" s="10">
        <v>167.3</v>
      </c>
      <c r="N91" s="10">
        <v>170.8</v>
      </c>
      <c r="O91" s="11">
        <v>174</v>
      </c>
      <c r="P91" s="10" cm="1">
        <f t="array" ref="P91">INTERCEPT(M91:O91,M$1:O$1)</f>
        <v>160.65</v>
      </c>
      <c r="Q91" s="10" cm="1">
        <f t="array" ref="Q91">SLOPE(M91:O91,M$1:O$1)</f>
        <v>0.669999999999999</v>
      </c>
      <c r="R91" s="11">
        <f t="shared" ref="R90:R97" si="8">ASIN((Q91-1)/(Q91+1))/3.1415926*180</f>
        <v>-11.3969287232439</v>
      </c>
      <c r="S91" s="11">
        <f t="shared" ref="S90:S97" si="9">P91*(1-SIN(R91/180*3.1415926))/2/COS(R91/180*3.1415926)</f>
        <v>98.1326061792023</v>
      </c>
    </row>
    <row r="92" spans="1:19">
      <c r="A92" s="5">
        <v>91</v>
      </c>
      <c r="B92" s="6">
        <v>53394914653</v>
      </c>
      <c r="C92" s="7">
        <v>0.35</v>
      </c>
      <c r="D92" s="6">
        <v>365854044844.63</v>
      </c>
      <c r="E92" s="7">
        <v>0.45</v>
      </c>
      <c r="F92" s="6">
        <v>23384733</v>
      </c>
      <c r="G92" s="8">
        <v>23</v>
      </c>
      <c r="H92" s="2">
        <v>5531790</v>
      </c>
      <c r="J92">
        <v>94.8</v>
      </c>
      <c r="K92">
        <v>28.3</v>
      </c>
      <c r="L92">
        <v>3.2</v>
      </c>
      <c r="M92">
        <v>88.4</v>
      </c>
      <c r="N92">
        <v>91.3</v>
      </c>
      <c r="O92">
        <v>90.7</v>
      </c>
      <c r="P92" s="10" cm="1">
        <f t="array" ref="P92">INTERCEPT(M92:O92,M$1:O$1)</f>
        <v>86.6833333333334</v>
      </c>
      <c r="Q92" s="10" cm="1">
        <f t="array" ref="Q92">SLOPE(M92:O92,M$1:O$1)</f>
        <v>0.229999999999998</v>
      </c>
      <c r="R92" s="11">
        <f t="shared" si="8"/>
        <v>-38.7568178417905</v>
      </c>
      <c r="S92" s="11">
        <f t="shared" si="9"/>
        <v>90.3736222925708</v>
      </c>
    </row>
    <row r="93" spans="1:19">
      <c r="A93" s="5">
        <v>92</v>
      </c>
      <c r="B93" s="6">
        <v>54219564412</v>
      </c>
      <c r="C93" s="7">
        <v>0.19</v>
      </c>
      <c r="D93" s="6">
        <v>385004469984.37</v>
      </c>
      <c r="E93" s="7">
        <v>0.28</v>
      </c>
      <c r="F93" s="6">
        <v>35848464</v>
      </c>
      <c r="G93" s="8">
        <v>18</v>
      </c>
      <c r="H93" s="2">
        <v>17268892</v>
      </c>
      <c r="J93">
        <v>129</v>
      </c>
      <c r="K93">
        <v>24.2</v>
      </c>
      <c r="L93">
        <v>8.65</v>
      </c>
      <c r="M93">
        <v>113.7</v>
      </c>
      <c r="N93">
        <v>114.8</v>
      </c>
      <c r="O93">
        <v>113</v>
      </c>
      <c r="P93" s="10" cm="1">
        <f t="array" ref="P93">INTERCEPT(M93:O93,M$1:O$1)</f>
        <v>114.883333333333</v>
      </c>
      <c r="Q93" s="10" cm="1">
        <f t="array" ref="Q93">SLOPE(M93:O93,M$1:O$1)</f>
        <v>-0.0699999999999989</v>
      </c>
      <c r="R93" s="11" t="e">
        <f t="shared" si="8"/>
        <v>#NUM!</v>
      </c>
      <c r="S93" s="11" t="e">
        <f t="shared" si="9"/>
        <v>#NUM!</v>
      </c>
    </row>
    <row r="94" spans="1:19">
      <c r="A94" s="1">
        <v>93</v>
      </c>
      <c r="B94" s="6">
        <v>9766986128</v>
      </c>
      <c r="C94" s="7">
        <v>0.33</v>
      </c>
      <c r="D94" s="6">
        <v>67193927121.203</v>
      </c>
      <c r="E94" s="7">
        <v>0.51</v>
      </c>
      <c r="F94" s="6">
        <v>6557517</v>
      </c>
      <c r="G94" s="8">
        <v>12</v>
      </c>
      <c r="H94" s="2">
        <v>27476789</v>
      </c>
      <c r="J94">
        <v>29</v>
      </c>
      <c r="K94">
        <v>5</v>
      </c>
      <c r="L94">
        <v>3.53</v>
      </c>
      <c r="M94">
        <v>13.5</v>
      </c>
      <c r="N94">
        <v>7.7</v>
      </c>
      <c r="O94">
        <v>2.2</v>
      </c>
      <c r="P94" s="10" cm="1">
        <f t="array" ref="P94">INTERCEPT(M94:O94,M$1:O$1)</f>
        <v>24.75</v>
      </c>
      <c r="Q94" s="10" cm="1">
        <f t="array" ref="Q94">SLOPE(M94:O94,M$1:O$1)</f>
        <v>-1.13</v>
      </c>
      <c r="R94" s="11" t="e">
        <f t="shared" si="8"/>
        <v>#NUM!</v>
      </c>
      <c r="S94" s="11" t="e">
        <f t="shared" si="9"/>
        <v>#NUM!</v>
      </c>
    </row>
    <row r="95" spans="1:19">
      <c r="A95" s="5">
        <v>94</v>
      </c>
      <c r="B95" s="6">
        <v>28610070669</v>
      </c>
      <c r="C95" s="7">
        <v>0.29</v>
      </c>
      <c r="D95" s="6">
        <v>198496226734.535</v>
      </c>
      <c r="E95" s="7">
        <v>0.23</v>
      </c>
      <c r="F95" s="6">
        <v>34954858</v>
      </c>
      <c r="G95" s="8">
        <v>19</v>
      </c>
      <c r="H95" s="2">
        <v>8054690</v>
      </c>
      <c r="J95">
        <v>118</v>
      </c>
      <c r="K95">
        <v>13.3</v>
      </c>
      <c r="L95">
        <v>4.9</v>
      </c>
      <c r="M95">
        <v>110.9</v>
      </c>
      <c r="N95">
        <v>112.8</v>
      </c>
      <c r="O95">
        <v>110</v>
      </c>
      <c r="P95" s="10" cm="1">
        <f t="array" ref="P95">INTERCEPT(M95:O95,M$1:O$1)</f>
        <v>112.583333333333</v>
      </c>
      <c r="Q95" s="10" cm="1">
        <f t="array" ref="Q95">SLOPE(M95:O95,M$1:O$1)</f>
        <v>-0.0900000000000006</v>
      </c>
      <c r="R95" s="11" t="e">
        <f t="shared" si="8"/>
        <v>#NUM!</v>
      </c>
      <c r="S95" s="11" t="e">
        <f t="shared" si="9"/>
        <v>#NUM!</v>
      </c>
    </row>
    <row r="96" spans="1:19">
      <c r="A96" s="1">
        <v>95</v>
      </c>
      <c r="B96" s="6">
        <v>31462595799</v>
      </c>
      <c r="C96" s="7">
        <v>0.27</v>
      </c>
      <c r="D96" s="6">
        <v>219247222693.819</v>
      </c>
      <c r="E96" s="7">
        <v>0.22</v>
      </c>
      <c r="F96" s="6">
        <v>1896263</v>
      </c>
      <c r="G96" s="8">
        <v>19</v>
      </c>
      <c r="H96" s="2">
        <v>24514470</v>
      </c>
      <c r="J96">
        <v>24</v>
      </c>
      <c r="K96">
        <v>16.67</v>
      </c>
      <c r="L96">
        <v>1.16</v>
      </c>
      <c r="M96">
        <v>-1.4</v>
      </c>
      <c r="N96">
        <v>5.4</v>
      </c>
      <c r="O96">
        <v>3.1</v>
      </c>
      <c r="P96" s="10" cm="1">
        <f t="array" ref="P96">INTERCEPT(M96:O96,M$1:O$1)</f>
        <v>-4.38333333333333</v>
      </c>
      <c r="Q96" s="10" cm="1">
        <f t="array" ref="Q96">SLOPE(M96:O96,M$1:O$1)</f>
        <v>0.45</v>
      </c>
      <c r="R96" s="11">
        <f t="shared" si="8"/>
        <v>-22.2909707550019</v>
      </c>
      <c r="S96" s="11">
        <f t="shared" si="9"/>
        <v>-3.26714376712469</v>
      </c>
    </row>
    <row r="97" spans="1:19">
      <c r="A97" s="5">
        <v>96</v>
      </c>
      <c r="B97" s="6">
        <v>44352480808</v>
      </c>
      <c r="C97" s="7">
        <v>0.32</v>
      </c>
      <c r="D97" s="6">
        <v>305763314661.212</v>
      </c>
      <c r="E97" s="7">
        <v>0.41</v>
      </c>
      <c r="F97" s="6">
        <v>26716030</v>
      </c>
      <c r="G97" s="8">
        <v>28</v>
      </c>
      <c r="H97" s="2">
        <v>7816401</v>
      </c>
      <c r="J97">
        <v>116</v>
      </c>
      <c r="K97">
        <v>22.7</v>
      </c>
      <c r="L97">
        <v>4.64</v>
      </c>
      <c r="M97">
        <v>121</v>
      </c>
      <c r="N97">
        <v>124.8</v>
      </c>
      <c r="O97">
        <v>125.9</v>
      </c>
      <c r="P97" s="10" cm="1">
        <f t="array" ref="P97">INTERCEPT(M97:O97,M$1:O$1)</f>
        <v>116.55</v>
      </c>
      <c r="Q97" s="10" cm="1">
        <f t="array" ref="Q97">SLOPE(M97:O97,M$1:O$1)</f>
        <v>0.490000000000001</v>
      </c>
      <c r="R97" s="11">
        <f t="shared" si="8"/>
        <v>-20.0159599443181</v>
      </c>
      <c r="S97" s="11">
        <f t="shared" si="9"/>
        <v>83.25</v>
      </c>
    </row>
    <row r="98" spans="1:19">
      <c r="A98" s="5">
        <v>97</v>
      </c>
      <c r="B98" s="6">
        <v>78075615350</v>
      </c>
      <c r="C98" s="7">
        <v>0.35</v>
      </c>
      <c r="D98" s="6">
        <v>534962549620.37</v>
      </c>
      <c r="E98" s="7">
        <v>0.51</v>
      </c>
      <c r="F98" s="6">
        <v>29591991</v>
      </c>
      <c r="G98" s="8">
        <v>13</v>
      </c>
      <c r="H98" s="2">
        <v>19198417</v>
      </c>
      <c r="J98">
        <v>104</v>
      </c>
      <c r="K98">
        <v>44.4</v>
      </c>
      <c r="L98">
        <v>7.46</v>
      </c>
      <c r="M98">
        <v>79.2</v>
      </c>
      <c r="N98">
        <v>78</v>
      </c>
      <c r="O98">
        <v>74</v>
      </c>
      <c r="P98" s="10" cm="1">
        <f t="array" ref="P98">INTERCEPT(M98:O98,M$1:O$1)</f>
        <v>84.8666666666667</v>
      </c>
      <c r="Q98" s="10" cm="1">
        <f t="array" ref="Q98">SLOPE(M98:O98,M$1:O$1)</f>
        <v>-0.52</v>
      </c>
      <c r="R98" s="11" t="e">
        <f t="shared" ref="R97:R116" si="10">ASIN((Q98-1)/(Q98+1))/3.1415926*180</f>
        <v>#NUM!</v>
      </c>
      <c r="S98" s="11" t="e">
        <f t="shared" ref="S97:S116" si="11">P98*(1-SIN(R98/180*3.1415926))/2/COS(R98/180*3.1415926)</f>
        <v>#NUM!</v>
      </c>
    </row>
    <row r="99" spans="1:19">
      <c r="A99" s="1">
        <v>98</v>
      </c>
      <c r="B99" s="6">
        <v>29121586206</v>
      </c>
      <c r="C99" s="7">
        <v>0.36</v>
      </c>
      <c r="D99" s="6">
        <v>199140258614.559</v>
      </c>
      <c r="E99" s="7">
        <v>0.45</v>
      </c>
      <c r="F99" s="6">
        <v>9631169</v>
      </c>
      <c r="G99" s="8">
        <v>52</v>
      </c>
      <c r="H99" s="2">
        <v>14607320</v>
      </c>
      <c r="J99">
        <v>128.7</v>
      </c>
      <c r="K99">
        <v>15.2</v>
      </c>
      <c r="L99">
        <v>6.18</v>
      </c>
      <c r="M99">
        <v>182</v>
      </c>
      <c r="N99">
        <v>218</v>
      </c>
      <c r="O99">
        <v>241.6</v>
      </c>
      <c r="P99" s="10" cm="1">
        <f t="array" ref="P99">INTERCEPT(M99:O99,M$1:O$1)</f>
        <v>124.466666666667</v>
      </c>
      <c r="Q99" s="10" cm="1">
        <f t="array" ref="Q99">SLOPE(M99:O99,M$1:O$1)</f>
        <v>5.96</v>
      </c>
      <c r="R99" s="11">
        <f t="shared" si="10"/>
        <v>45.4504221442162</v>
      </c>
      <c r="S99" s="11">
        <f t="shared" si="11"/>
        <v>25.4917665934841</v>
      </c>
    </row>
    <row r="100" spans="1:19">
      <c r="A100" s="5">
        <v>99</v>
      </c>
      <c r="B100" s="6">
        <v>33929798116</v>
      </c>
      <c r="C100" s="7">
        <v>0.28</v>
      </c>
      <c r="D100" s="6">
        <v>235918127525.312</v>
      </c>
      <c r="E100" s="7">
        <v>0.17</v>
      </c>
      <c r="F100" s="6">
        <v>36055133</v>
      </c>
      <c r="G100" s="8">
        <v>19</v>
      </c>
      <c r="H100" s="2">
        <v>26633707</v>
      </c>
      <c r="J100">
        <v>1.35</v>
      </c>
      <c r="K100">
        <v>15.2</v>
      </c>
      <c r="L100">
        <v>10.98</v>
      </c>
      <c r="M100">
        <v>124.8</v>
      </c>
      <c r="N100">
        <v>121</v>
      </c>
      <c r="O100">
        <v>117.5</v>
      </c>
      <c r="P100" s="10" cm="1">
        <f t="array" ref="P100">INTERCEPT(M100:O100,M$1:O$1)</f>
        <v>132.05</v>
      </c>
      <c r="Q100" s="10" cm="1">
        <f t="array" ref="Q100">SLOPE(M100:O100,M$1:O$1)</f>
        <v>-0.730000000000001</v>
      </c>
      <c r="R100" s="11" t="e">
        <f t="shared" si="10"/>
        <v>#NUM!</v>
      </c>
      <c r="S100" s="11" t="e">
        <f t="shared" si="11"/>
        <v>#NUM!</v>
      </c>
    </row>
    <row r="101" spans="1:19">
      <c r="A101" s="1">
        <v>100</v>
      </c>
      <c r="B101" s="6">
        <v>38854511534</v>
      </c>
      <c r="C101" s="7">
        <v>0.35</v>
      </c>
      <c r="D101" s="6">
        <v>266225356807.037</v>
      </c>
      <c r="E101" s="7">
        <v>0.32</v>
      </c>
      <c r="F101" s="6">
        <v>38175167</v>
      </c>
      <c r="G101" s="8">
        <v>26</v>
      </c>
      <c r="H101" s="2">
        <v>5777716</v>
      </c>
      <c r="J101">
        <v>146.6</v>
      </c>
      <c r="K101">
        <v>19.35</v>
      </c>
      <c r="L101">
        <v>3.44</v>
      </c>
      <c r="M101">
        <v>148.3</v>
      </c>
      <c r="N101">
        <v>153.8</v>
      </c>
      <c r="O101">
        <v>154</v>
      </c>
      <c r="P101" s="10" cm="1">
        <f t="array" ref="P101">INTERCEPT(M101:O101,M$1:O$1)</f>
        <v>143.483333333333</v>
      </c>
      <c r="Q101" s="10" cm="1">
        <f t="array" ref="Q101">SLOPE(M101:O101,M$1:O$1)</f>
        <v>0.569999999999999</v>
      </c>
      <c r="R101" s="11">
        <f t="shared" si="10"/>
        <v>-15.8955996077584</v>
      </c>
      <c r="S101" s="11">
        <f t="shared" si="11"/>
        <v>95.0241588497748</v>
      </c>
    </row>
    <row r="102" spans="1:19">
      <c r="A102" s="1">
        <v>101</v>
      </c>
      <c r="B102" s="2">
        <v>43950422852</v>
      </c>
      <c r="C102" s="1">
        <v>0.2</v>
      </c>
      <c r="D102" s="1">
        <v>311315495201.667</v>
      </c>
      <c r="E102" s="1">
        <v>0.36</v>
      </c>
      <c r="F102" s="1">
        <v>38824067</v>
      </c>
      <c r="G102" s="1">
        <v>20</v>
      </c>
      <c r="H102" s="2">
        <v>20480057</v>
      </c>
      <c r="J102">
        <v>143</v>
      </c>
      <c r="K102">
        <v>21.2</v>
      </c>
      <c r="L102">
        <v>9.93</v>
      </c>
      <c r="M102">
        <v>134</v>
      </c>
      <c r="N102">
        <v>132</v>
      </c>
      <c r="O102">
        <v>132</v>
      </c>
      <c r="P102" s="10" cm="1">
        <f t="array" ref="P102">INTERCEPT(M102:O102,M$1:O$1)</f>
        <v>135.666666666667</v>
      </c>
      <c r="Q102" s="10" cm="1">
        <f t="array" ref="Q102">SLOPE(M102:O102,M$1:O$1)</f>
        <v>-0.2</v>
      </c>
      <c r="R102" s="11" t="e">
        <f t="shared" si="10"/>
        <v>#NUM!</v>
      </c>
      <c r="S102" s="11" t="e">
        <f t="shared" si="11"/>
        <v>#NUM!</v>
      </c>
    </row>
    <row r="103" spans="1:19">
      <c r="A103" s="5">
        <v>102</v>
      </c>
      <c r="B103" s="3">
        <v>35138825575</v>
      </c>
      <c r="C103" s="4">
        <v>0.26</v>
      </c>
      <c r="D103" s="4">
        <v>245414019888.889</v>
      </c>
      <c r="E103" s="4">
        <v>0.15</v>
      </c>
      <c r="F103" s="4">
        <v>28423893</v>
      </c>
      <c r="G103" s="4">
        <v>52</v>
      </c>
      <c r="H103" s="3">
        <v>1611078</v>
      </c>
      <c r="J103">
        <v>194</v>
      </c>
      <c r="K103">
        <v>14.7</v>
      </c>
      <c r="L103">
        <v>0.998</v>
      </c>
      <c r="M103">
        <v>146.9</v>
      </c>
      <c r="N103">
        <v>270</v>
      </c>
      <c r="O103">
        <v>296</v>
      </c>
      <c r="P103" s="10" cm="1">
        <f t="array" ref="P103">INTERCEPT(M103:O103,M$1:O$1)</f>
        <v>13.9833333333333</v>
      </c>
      <c r="Q103" s="10" cm="1">
        <f t="array" ref="Q103">SLOPE(M103:O103,M$1:O$1)</f>
        <v>14.91</v>
      </c>
      <c r="R103" s="11">
        <f t="shared" si="10"/>
        <v>60.9614014762107</v>
      </c>
      <c r="S103" s="11">
        <f t="shared" si="11"/>
        <v>1.81068078577266</v>
      </c>
    </row>
    <row r="104" spans="1:19">
      <c r="A104" s="5">
        <v>103</v>
      </c>
      <c r="B104" s="3">
        <v>21673503187</v>
      </c>
      <c r="C104" s="4">
        <v>0.22</v>
      </c>
      <c r="D104" s="4">
        <v>152780432301.803</v>
      </c>
      <c r="E104" s="4">
        <v>0.52</v>
      </c>
      <c r="F104" s="4">
        <v>40456225</v>
      </c>
      <c r="G104" s="4">
        <v>49</v>
      </c>
      <c r="H104" s="3">
        <v>2876813</v>
      </c>
      <c r="J104">
        <v>183</v>
      </c>
      <c r="K104">
        <v>10.44</v>
      </c>
      <c r="L104">
        <v>1.84</v>
      </c>
      <c r="M104">
        <v>287.6</v>
      </c>
      <c r="N104">
        <v>308</v>
      </c>
      <c r="O104">
        <v>326</v>
      </c>
      <c r="P104" s="10" cm="1">
        <f t="array" ref="P104">INTERCEPT(M104:O104,M$1:O$1)</f>
        <v>249.6</v>
      </c>
      <c r="Q104" s="10" cm="1">
        <f t="array" ref="Q104">SLOPE(M104:O104,M$1:O$1)</f>
        <v>3.84</v>
      </c>
      <c r="R104" s="11">
        <f t="shared" si="10"/>
        <v>35.9286170340515</v>
      </c>
      <c r="S104" s="11">
        <f t="shared" si="11"/>
        <v>63.6867333123627</v>
      </c>
    </row>
    <row r="105" spans="1:19">
      <c r="A105" s="1">
        <v>104</v>
      </c>
      <c r="B105" s="2">
        <v>78537355208</v>
      </c>
      <c r="C105" s="1">
        <v>0.25</v>
      </c>
      <c r="D105" s="1">
        <v>549761486456</v>
      </c>
      <c r="E105" s="1">
        <v>0.28</v>
      </c>
      <c r="F105" s="2">
        <v>47853141</v>
      </c>
      <c r="G105" s="1">
        <v>13</v>
      </c>
      <c r="H105" s="2">
        <v>10165383</v>
      </c>
      <c r="J105">
        <v>149.8</v>
      </c>
      <c r="K105">
        <v>37</v>
      </c>
      <c r="L105">
        <v>5.47</v>
      </c>
      <c r="M105">
        <v>126.8</v>
      </c>
      <c r="N105">
        <v>121.8</v>
      </c>
      <c r="O105">
        <v>116.5</v>
      </c>
      <c r="P105" s="10" cm="1">
        <f t="array" ref="P105">INTERCEPT(M105:O105,M$1:O$1)</f>
        <v>137.15</v>
      </c>
      <c r="Q105" s="10" cm="1">
        <f t="array" ref="Q105">SLOPE(M105:O105,M$1:O$1)</f>
        <v>-1.03</v>
      </c>
      <c r="R105" s="11" t="e">
        <f t="shared" si="10"/>
        <v>#NUM!</v>
      </c>
      <c r="S105" s="11" t="e">
        <f t="shared" si="11"/>
        <v>#NUM!</v>
      </c>
    </row>
    <row r="106" spans="1:19">
      <c r="A106" s="5">
        <v>105</v>
      </c>
      <c r="B106" s="2">
        <v>27526173902</v>
      </c>
      <c r="C106" s="1">
        <v>0.36</v>
      </c>
      <c r="D106" s="1">
        <v>188230453888.676</v>
      </c>
      <c r="E106" s="1">
        <v>0.58</v>
      </c>
      <c r="F106" s="2">
        <v>49529487</v>
      </c>
      <c r="G106" s="1">
        <v>18</v>
      </c>
      <c r="H106" s="2">
        <v>15730146</v>
      </c>
      <c r="J106">
        <v>166.5</v>
      </c>
      <c r="K106">
        <v>14.6</v>
      </c>
      <c r="L106">
        <v>8.38</v>
      </c>
      <c r="M106">
        <v>154.9</v>
      </c>
      <c r="N106">
        <v>153.6</v>
      </c>
      <c r="O106">
        <v>154.5</v>
      </c>
      <c r="P106" s="10" cm="1">
        <f t="array" ref="P106">INTERCEPT(M106:O106,M$1:O$1)</f>
        <v>154.933333333333</v>
      </c>
      <c r="Q106" s="10" cm="1">
        <f t="array" ref="Q106">SLOPE(M106:O106,M$1:O$1)</f>
        <v>-0.0400000000000006</v>
      </c>
      <c r="R106" s="11" t="e">
        <f t="shared" si="10"/>
        <v>#NUM!</v>
      </c>
      <c r="S106" s="11" t="e">
        <f t="shared" si="11"/>
        <v>#NUM!</v>
      </c>
    </row>
    <row r="107" spans="1:19">
      <c r="A107" s="5">
        <v>106</v>
      </c>
      <c r="B107" s="2">
        <v>54045872295</v>
      </c>
      <c r="C107" s="1">
        <v>0.33</v>
      </c>
      <c r="D107" s="1">
        <v>371819346991.917</v>
      </c>
      <c r="E107" s="1">
        <v>0.17</v>
      </c>
      <c r="F107" s="2">
        <v>32625222</v>
      </c>
      <c r="G107" s="1">
        <v>24</v>
      </c>
      <c r="H107" s="2">
        <v>12756579</v>
      </c>
      <c r="J107">
        <v>128</v>
      </c>
      <c r="K107">
        <v>24.7</v>
      </c>
      <c r="L107">
        <v>6.81</v>
      </c>
      <c r="M107">
        <v>124.3</v>
      </c>
      <c r="N107">
        <v>130.9</v>
      </c>
      <c r="O107">
        <v>128.1</v>
      </c>
      <c r="P107" s="10" cm="1">
        <f t="array" ref="P107">INTERCEPT(M107:O107,M$1:O$1)</f>
        <v>122.066666666667</v>
      </c>
      <c r="Q107" s="10" cm="1">
        <f t="array" ref="Q107">SLOPE(M107:O107,M$1:O$1)</f>
        <v>0.379999999999998</v>
      </c>
      <c r="R107" s="11">
        <f t="shared" si="10"/>
        <v>-26.6972019049039</v>
      </c>
      <c r="S107" s="11">
        <f t="shared" si="11"/>
        <v>99.009140696809</v>
      </c>
    </row>
    <row r="108" spans="1:19">
      <c r="A108" s="1">
        <v>107</v>
      </c>
      <c r="B108" s="2">
        <v>17914425637</v>
      </c>
      <c r="C108" s="1">
        <v>0.34</v>
      </c>
      <c r="D108" s="1">
        <v>122994564074.925</v>
      </c>
      <c r="E108" s="1">
        <v>0.14</v>
      </c>
      <c r="F108" s="2">
        <v>42453712</v>
      </c>
      <c r="G108" s="1">
        <v>49</v>
      </c>
      <c r="H108" s="2">
        <v>6175765</v>
      </c>
      <c r="J108">
        <v>196</v>
      </c>
      <c r="K108">
        <v>7.9</v>
      </c>
      <c r="L108">
        <v>3.96</v>
      </c>
      <c r="M108">
        <v>218.7</v>
      </c>
      <c r="N108">
        <v>224.4</v>
      </c>
      <c r="O108">
        <v>237.3</v>
      </c>
      <c r="P108" s="10" cm="1">
        <f t="array" ref="P108">INTERCEPT(M108:O108,M$1:O$1)</f>
        <v>198.9</v>
      </c>
      <c r="Q108" s="10" cm="1">
        <f t="array" ref="Q108">SLOPE(M108:O108,M$1:O$1)</f>
        <v>1.86</v>
      </c>
      <c r="R108" s="11">
        <f t="shared" si="10"/>
        <v>17.4996098748152</v>
      </c>
      <c r="S108" s="11">
        <f t="shared" si="11"/>
        <v>72.9202779443679</v>
      </c>
    </row>
    <row r="109" spans="1:19">
      <c r="A109" s="5">
        <v>108</v>
      </c>
      <c r="B109" s="2">
        <v>77611485473</v>
      </c>
      <c r="C109" s="1">
        <v>0.27</v>
      </c>
      <c r="D109" s="1">
        <v>540835942075.63</v>
      </c>
      <c r="E109" s="1">
        <v>0.53</v>
      </c>
      <c r="F109" s="2">
        <v>8292419</v>
      </c>
      <c r="G109" s="1">
        <v>49</v>
      </c>
      <c r="H109" s="2">
        <v>2131235</v>
      </c>
      <c r="J109">
        <v>127</v>
      </c>
      <c r="K109">
        <v>38.7</v>
      </c>
      <c r="L109">
        <v>1.35</v>
      </c>
      <c r="M109">
        <v>202.3</v>
      </c>
      <c r="N109">
        <v>235</v>
      </c>
      <c r="O109">
        <v>270</v>
      </c>
      <c r="P109" s="10" cm="1">
        <f t="array" ref="P109">INTERCEPT(M109:O109,M$1:O$1)</f>
        <v>134.216666666667</v>
      </c>
      <c r="Q109" s="10" cm="1">
        <f t="array" ref="Q109">SLOPE(M109:O109,M$1:O$1)</f>
        <v>6.77</v>
      </c>
      <c r="R109" s="11">
        <f t="shared" si="10"/>
        <v>47.953347987204</v>
      </c>
      <c r="S109" s="11">
        <f t="shared" si="11"/>
        <v>25.7918276900832</v>
      </c>
    </row>
    <row r="110" spans="1:19">
      <c r="A110" s="1">
        <v>109</v>
      </c>
      <c r="B110" s="2">
        <v>25349675693</v>
      </c>
      <c r="C110" s="1">
        <v>0.31</v>
      </c>
      <c r="D110" s="1">
        <v>175125622153.931</v>
      </c>
      <c r="E110" s="1">
        <v>0.32</v>
      </c>
      <c r="F110" s="2">
        <v>13377172</v>
      </c>
      <c r="G110" s="1">
        <v>56</v>
      </c>
      <c r="H110" s="2">
        <v>4045657</v>
      </c>
      <c r="M110">
        <v>-20</v>
      </c>
      <c r="N110">
        <v>-30</v>
      </c>
      <c r="O110">
        <v>-40</v>
      </c>
      <c r="P110" s="10"/>
      <c r="Q110" s="10"/>
      <c r="R110" s="11"/>
      <c r="S110" s="11"/>
    </row>
    <row r="111" spans="1:19">
      <c r="A111" s="5">
        <v>110</v>
      </c>
      <c r="B111" s="2">
        <v>65377653240</v>
      </c>
      <c r="C111" s="1">
        <v>0.4</v>
      </c>
      <c r="D111" s="1">
        <v>443634075557.143</v>
      </c>
      <c r="E111" s="1">
        <v>0.29</v>
      </c>
      <c r="F111" s="2">
        <v>18387866</v>
      </c>
      <c r="G111" s="1">
        <v>23</v>
      </c>
      <c r="H111" s="2">
        <v>12869001</v>
      </c>
      <c r="J111">
        <v>79.2</v>
      </c>
      <c r="K111">
        <v>35.3</v>
      </c>
      <c r="L111">
        <v>6.25</v>
      </c>
      <c r="M111">
        <v>74.6</v>
      </c>
      <c r="N111">
        <v>77.6</v>
      </c>
      <c r="O111">
        <v>78</v>
      </c>
      <c r="P111" s="10" cm="1">
        <f t="array" ref="P111">INTERCEPT(M111:O111,M$1:O$1)</f>
        <v>71.6333333333333</v>
      </c>
      <c r="Q111" s="10" cm="1">
        <f t="array" ref="Q111">SLOPE(M111:O111,M$1:O$1)</f>
        <v>0.340000000000001</v>
      </c>
      <c r="R111" s="11">
        <f t="shared" si="10"/>
        <v>-29.507489196434</v>
      </c>
      <c r="S111" s="11">
        <f t="shared" si="11"/>
        <v>61.4250765785419</v>
      </c>
    </row>
    <row r="112" spans="1:19">
      <c r="A112" s="5">
        <v>111</v>
      </c>
      <c r="B112" s="2">
        <v>65632001818</v>
      </c>
      <c r="C112" s="1">
        <v>0.31</v>
      </c>
      <c r="D112" s="1">
        <v>453411920956.412</v>
      </c>
      <c r="E112" s="1">
        <v>0.12</v>
      </c>
      <c r="F112" s="2">
        <v>48760452</v>
      </c>
      <c r="G112" s="1">
        <v>35</v>
      </c>
      <c r="H112" s="2">
        <v>6113940</v>
      </c>
      <c r="J112">
        <v>217</v>
      </c>
      <c r="K112">
        <v>27.3</v>
      </c>
      <c r="L112">
        <v>3.74</v>
      </c>
      <c r="M112">
        <v>246</v>
      </c>
      <c r="N112">
        <v>258.6</v>
      </c>
      <c r="O112">
        <v>266.8</v>
      </c>
      <c r="P112" s="10" cm="1">
        <f t="array" ref="P112">INTERCEPT(M112:O112,M$1:O$1)</f>
        <v>225.933333333333</v>
      </c>
      <c r="Q112" s="10" cm="1">
        <f t="array" ref="Q112">SLOPE(M112:O112,M$1:O$1)</f>
        <v>2.08</v>
      </c>
      <c r="R112" s="11">
        <f t="shared" si="10"/>
        <v>20.5270377876376</v>
      </c>
      <c r="S112" s="11">
        <f t="shared" si="11"/>
        <v>78.3282902086376</v>
      </c>
    </row>
    <row r="113" spans="1:19">
      <c r="A113" s="1">
        <v>112</v>
      </c>
      <c r="B113" s="2">
        <v>26058190486</v>
      </c>
      <c r="C113" s="1">
        <v>0.28</v>
      </c>
      <c r="D113" s="1">
        <v>181185855722.969</v>
      </c>
      <c r="E113" s="1">
        <v>0.48</v>
      </c>
      <c r="F113" s="2">
        <v>11127649</v>
      </c>
      <c r="G113" s="1">
        <v>46</v>
      </c>
      <c r="H113" s="2">
        <v>4923734</v>
      </c>
      <c r="J113">
        <v>93.6</v>
      </c>
      <c r="K113">
        <v>12.5</v>
      </c>
      <c r="L113">
        <v>3.02</v>
      </c>
      <c r="M113">
        <v>131.4</v>
      </c>
      <c r="N113">
        <v>149.5</v>
      </c>
      <c r="O113">
        <v>168</v>
      </c>
      <c r="P113" s="10" cm="1">
        <f t="array" ref="P113">INTERCEPT(M113:O113,M$1:O$1)</f>
        <v>94.7333333333333</v>
      </c>
      <c r="Q113" s="10" cm="1">
        <f t="array" ref="Q113">SLOPE(M113:O113,M$1:O$1)</f>
        <v>3.66</v>
      </c>
      <c r="R113" s="11">
        <f t="shared" si="10"/>
        <v>34.8071097953846</v>
      </c>
      <c r="S113" s="11">
        <f t="shared" si="11"/>
        <v>24.758953290944</v>
      </c>
    </row>
    <row r="114" spans="1:19">
      <c r="A114" s="5">
        <v>113</v>
      </c>
      <c r="B114" s="2">
        <v>19611128987</v>
      </c>
      <c r="C114" s="1">
        <v>0.29</v>
      </c>
      <c r="D114" s="1">
        <v>136061708863.295</v>
      </c>
      <c r="E114" s="1">
        <v>0.32</v>
      </c>
      <c r="F114" s="2">
        <v>30239221</v>
      </c>
      <c r="G114" s="1">
        <v>10</v>
      </c>
      <c r="H114" s="2">
        <v>9118263</v>
      </c>
      <c r="J114">
        <v>90.1</v>
      </c>
      <c r="K114">
        <v>9.23</v>
      </c>
      <c r="L114">
        <v>4.47</v>
      </c>
      <c r="M114">
        <v>74.2</v>
      </c>
      <c r="N114">
        <v>67.8</v>
      </c>
      <c r="O114">
        <v>61.4</v>
      </c>
      <c r="P114" s="10" cm="1">
        <f t="array" ref="P114">INTERCEPT(M114:O114,M$1:O$1)</f>
        <v>87</v>
      </c>
      <c r="Q114" s="10" cm="1">
        <f t="array" ref="Q114">SLOPE(M114:O114,M$1:O$1)</f>
        <v>-1.28</v>
      </c>
      <c r="R114" s="11" t="e">
        <f t="shared" si="10"/>
        <v>#NUM!</v>
      </c>
      <c r="S114" s="11" t="e">
        <f t="shared" si="11"/>
        <v>#NUM!</v>
      </c>
    </row>
    <row r="115" spans="1:19">
      <c r="A115" s="1">
        <v>114</v>
      </c>
      <c r="B115" s="2">
        <v>61524328984</v>
      </c>
      <c r="C115" s="1">
        <v>0.34</v>
      </c>
      <c r="D115" s="1">
        <v>422405840785.672</v>
      </c>
      <c r="E115" s="1">
        <v>0.44</v>
      </c>
      <c r="F115" s="2">
        <v>28413237</v>
      </c>
      <c r="G115" s="1">
        <v>60</v>
      </c>
      <c r="H115" s="2">
        <v>20333121</v>
      </c>
      <c r="J115">
        <v>401</v>
      </c>
      <c r="K115">
        <v>30.8</v>
      </c>
      <c r="L115">
        <v>11.67</v>
      </c>
      <c r="M115">
        <v>542.4</v>
      </c>
      <c r="N115">
        <v>661</v>
      </c>
      <c r="O115">
        <v>715.7</v>
      </c>
      <c r="P115" s="10" cm="1">
        <f t="array" ref="P115">INTERCEPT(M115:O115,M$1:O$1)</f>
        <v>379.75</v>
      </c>
      <c r="Q115" s="10" cm="1">
        <f t="array" ref="Q115">SLOPE(M115:O115,M$1:O$1)</f>
        <v>17.33</v>
      </c>
      <c r="R115" s="11">
        <f t="shared" si="10"/>
        <v>62.9852045857066</v>
      </c>
      <c r="S115" s="11">
        <f t="shared" si="11"/>
        <v>45.6108856785653</v>
      </c>
    </row>
    <row r="116" spans="1:19">
      <c r="A116" s="5">
        <v>115</v>
      </c>
      <c r="B116" s="2">
        <v>23651266330</v>
      </c>
      <c r="C116" s="1">
        <v>0.38</v>
      </c>
      <c r="D116" s="1">
        <v>161102828624.638</v>
      </c>
      <c r="E116" s="1">
        <v>0.28</v>
      </c>
      <c r="F116" s="2">
        <v>46627225</v>
      </c>
      <c r="G116" s="1">
        <v>31</v>
      </c>
      <c r="H116" s="2">
        <v>21028643</v>
      </c>
      <c r="J116">
        <v>205</v>
      </c>
      <c r="K116">
        <v>11.6</v>
      </c>
      <c r="L116">
        <v>11.46</v>
      </c>
      <c r="M116">
        <v>204.6</v>
      </c>
      <c r="N116">
        <v>207</v>
      </c>
      <c r="O116">
        <v>208.6</v>
      </c>
      <c r="P116" s="10" cm="1">
        <f t="array" ref="P116">INTERCEPT(M116:O116,M$1:O$1)</f>
        <v>200.733333333333</v>
      </c>
      <c r="Q116" s="10" cm="1">
        <f t="array" ref="Q116">SLOPE(M116:O116,M$1:O$1)</f>
        <v>0.4</v>
      </c>
      <c r="R116" s="11">
        <f t="shared" si="10"/>
        <v>-25.3769339580361</v>
      </c>
      <c r="S116" s="11">
        <f t="shared" si="11"/>
        <v>158.693633912783</v>
      </c>
    </row>
    <row r="117" spans="1:19">
      <c r="A117" s="5">
        <v>116</v>
      </c>
      <c r="B117" s="2">
        <v>21951891433</v>
      </c>
      <c r="C117" s="1">
        <v>0.4</v>
      </c>
      <c r="D117" s="1">
        <v>148959263295.357</v>
      </c>
      <c r="E117" s="1">
        <v>0.33</v>
      </c>
      <c r="F117" s="2">
        <v>43315134</v>
      </c>
      <c r="G117" s="1">
        <v>40</v>
      </c>
      <c r="H117" s="2">
        <v>10643536</v>
      </c>
      <c r="J117">
        <v>215</v>
      </c>
      <c r="K117">
        <v>11.26</v>
      </c>
      <c r="L117">
        <v>5.95</v>
      </c>
      <c r="M117">
        <v>232.4</v>
      </c>
      <c r="N117">
        <v>245.8</v>
      </c>
      <c r="O117">
        <v>254.1</v>
      </c>
      <c r="P117" s="10" cm="1">
        <f t="array" ref="P117">INTERCEPT(M117:O117,M$1:O$1)</f>
        <v>211.55</v>
      </c>
      <c r="Q117" s="10" cm="1">
        <f t="array" ref="Q117">SLOPE(M117:O117,M$1:O$1)</f>
        <v>2.17</v>
      </c>
      <c r="R117" s="11">
        <f t="shared" ref="R117:R126" si="12">ASIN((Q117-1)/(Q117+1))/3.1415926*180</f>
        <v>21.6592089976322</v>
      </c>
      <c r="S117" s="11">
        <f t="shared" ref="S117:S126" si="13">P117*(1-SIN(R117/180*3.1415926))/2/COS(R117/180*3.1415926)</f>
        <v>71.8047487775329</v>
      </c>
    </row>
    <row r="118" spans="1:19">
      <c r="A118" s="1">
        <v>117</v>
      </c>
      <c r="B118" s="2">
        <v>19178317589</v>
      </c>
      <c r="C118" s="1">
        <v>0.35</v>
      </c>
      <c r="D118" s="1">
        <v>131406990887.593</v>
      </c>
      <c r="E118" s="1">
        <v>0.39</v>
      </c>
      <c r="F118" s="2">
        <v>36268869</v>
      </c>
      <c r="G118" s="1">
        <v>26</v>
      </c>
      <c r="H118" s="2">
        <v>25180377</v>
      </c>
      <c r="J118">
        <v>148.2</v>
      </c>
      <c r="K118">
        <v>9.3</v>
      </c>
      <c r="L118">
        <v>12.86</v>
      </c>
      <c r="M118">
        <v>141</v>
      </c>
      <c r="N118">
        <v>141</v>
      </c>
      <c r="O118">
        <v>139.6</v>
      </c>
      <c r="P118" s="10" cm="1">
        <f t="array" ref="P118">INTERCEPT(M118:O118,M$1:O$1)</f>
        <v>142.633333333333</v>
      </c>
      <c r="Q118" s="10" cm="1">
        <f t="array" ref="Q118">SLOPE(M118:O118,M$1:O$1)</f>
        <v>-0.140000000000001</v>
      </c>
      <c r="R118" s="11" t="e">
        <f t="shared" si="12"/>
        <v>#NUM!</v>
      </c>
      <c r="S118" s="11" t="e">
        <f t="shared" si="13"/>
        <v>#NUM!</v>
      </c>
    </row>
    <row r="119" spans="1:19">
      <c r="A119" s="5">
        <v>118</v>
      </c>
      <c r="B119" s="2">
        <v>62671506104</v>
      </c>
      <c r="C119" s="1">
        <v>0.19</v>
      </c>
      <c r="D119" s="1">
        <v>445020358469.58</v>
      </c>
      <c r="E119" s="1">
        <v>0.35</v>
      </c>
      <c r="F119" s="2">
        <v>19219520</v>
      </c>
      <c r="G119" s="1">
        <v>28</v>
      </c>
      <c r="H119" s="2">
        <v>24264394</v>
      </c>
      <c r="J119">
        <v>103</v>
      </c>
      <c r="K119">
        <v>29.7</v>
      </c>
      <c r="L119">
        <v>9.52</v>
      </c>
      <c r="M119">
        <v>101</v>
      </c>
      <c r="N119">
        <v>102.5</v>
      </c>
      <c r="O119">
        <v>105.6</v>
      </c>
      <c r="P119" s="10" cm="1">
        <f t="array" ref="P119">INTERCEPT(M119:O119,M$1:O$1)</f>
        <v>96.1333333333333</v>
      </c>
      <c r="Q119" s="10" cm="1">
        <f t="array" ref="Q119">SLOPE(M119:O119,M$1:O$1)</f>
        <v>0.459999999999999</v>
      </c>
      <c r="R119" s="11">
        <f t="shared" si="12"/>
        <v>-21.7071696037683</v>
      </c>
      <c r="S119" s="11">
        <f t="shared" si="13"/>
        <v>70.8704335917873</v>
      </c>
    </row>
    <row r="120" spans="1:19">
      <c r="A120" s="1">
        <v>119</v>
      </c>
      <c r="B120" s="2">
        <v>27904306802</v>
      </c>
      <c r="C120" s="1">
        <v>0.11</v>
      </c>
      <c r="D120" s="1">
        <v>202369071852.342</v>
      </c>
      <c r="E120" s="1">
        <v>0.32</v>
      </c>
      <c r="F120" s="2">
        <v>4969375</v>
      </c>
      <c r="G120" s="1">
        <v>54</v>
      </c>
      <c r="H120" s="2">
        <v>24172831</v>
      </c>
      <c r="J120">
        <v>121</v>
      </c>
      <c r="K120">
        <v>11.3</v>
      </c>
      <c r="L120">
        <v>5.85</v>
      </c>
      <c r="M120">
        <v>172</v>
      </c>
      <c r="N120">
        <v>206.8</v>
      </c>
      <c r="O120">
        <v>233.7</v>
      </c>
      <c r="P120" s="10" cm="1">
        <f t="array" ref="P120">INTERCEPT(M120:O120,M$1:O$1)</f>
        <v>111.616666666667</v>
      </c>
      <c r="Q120" s="10" cm="1">
        <f t="array" ref="Q120">SLOPE(M120:O120,M$1:O$1)</f>
        <v>6.17</v>
      </c>
      <c r="R120" s="11">
        <f t="shared" si="12"/>
        <v>46.1420639625887</v>
      </c>
      <c r="S120" s="11">
        <f t="shared" si="13"/>
        <v>22.4675890078504</v>
      </c>
    </row>
    <row r="121" spans="1:19">
      <c r="A121" s="5">
        <v>120</v>
      </c>
      <c r="B121" s="2">
        <v>4834913223</v>
      </c>
      <c r="C121" s="1">
        <v>0.28</v>
      </c>
      <c r="D121" s="1">
        <v>33617756003.6719</v>
      </c>
      <c r="E121" s="1">
        <v>0.51</v>
      </c>
      <c r="F121" s="2">
        <v>35622485</v>
      </c>
      <c r="G121" s="1">
        <v>14</v>
      </c>
      <c r="H121" s="2">
        <v>10077485</v>
      </c>
      <c r="M121">
        <v>-20</v>
      </c>
      <c r="N121">
        <v>-30</v>
      </c>
      <c r="O121">
        <v>-40</v>
      </c>
      <c r="P121" s="10"/>
      <c r="Q121" s="10"/>
      <c r="R121" s="11"/>
      <c r="S121" s="11"/>
    </row>
    <row r="122" spans="1:19">
      <c r="A122" s="5">
        <v>121</v>
      </c>
      <c r="B122" s="2">
        <v>51115055891</v>
      </c>
      <c r="C122" s="1">
        <v>0.2</v>
      </c>
      <c r="D122" s="1">
        <v>362064979227.917</v>
      </c>
      <c r="E122" s="1">
        <v>0.48</v>
      </c>
      <c r="F122" s="2">
        <v>18699572</v>
      </c>
      <c r="G122" s="1">
        <v>58</v>
      </c>
      <c r="H122" s="2">
        <v>24389636</v>
      </c>
      <c r="J122">
        <v>274</v>
      </c>
      <c r="K122">
        <v>21</v>
      </c>
      <c r="L122">
        <v>10.95</v>
      </c>
      <c r="M122">
        <v>410</v>
      </c>
      <c r="N122">
        <v>468</v>
      </c>
      <c r="O122" t="e">
        <v>#VALUE!</v>
      </c>
      <c r="P122" s="10" t="e" cm="1">
        <f t="array" ref="P122">INTERCEPT(M122:O122,M$1:O$1)</f>
        <v>#VALUE!</v>
      </c>
      <c r="Q122" s="10" t="e" cm="1">
        <f t="array" ref="Q122">SLOPE(M122:O122,M$1:O$1)</f>
        <v>#VALUE!</v>
      </c>
      <c r="R122" s="11" t="e">
        <f t="shared" si="12"/>
        <v>#VALUE!</v>
      </c>
      <c r="S122" s="11" t="e">
        <f t="shared" si="13"/>
        <v>#VALUE!</v>
      </c>
    </row>
    <row r="123" spans="1:19">
      <c r="A123" s="1">
        <v>122</v>
      </c>
      <c r="B123" s="2">
        <v>59704837452</v>
      </c>
      <c r="C123" s="1">
        <v>0.16</v>
      </c>
      <c r="D123" s="1">
        <v>427198405906.552</v>
      </c>
      <c r="E123" s="1">
        <v>0.37</v>
      </c>
      <c r="F123" s="2">
        <v>15755173</v>
      </c>
      <c r="G123" s="1">
        <v>58</v>
      </c>
      <c r="H123" s="2">
        <v>4267574</v>
      </c>
      <c r="J123">
        <v>214</v>
      </c>
      <c r="K123">
        <v>27</v>
      </c>
      <c r="L123">
        <v>2.4</v>
      </c>
      <c r="M123">
        <v>391.6</v>
      </c>
      <c r="N123">
        <v>468.6</v>
      </c>
      <c r="O123">
        <v>568.3</v>
      </c>
      <c r="P123" s="10" cm="1">
        <f t="array" ref="P123">INTERCEPT(M123:O123,M$1:O$1)</f>
        <v>211.116666666667</v>
      </c>
      <c r="Q123" s="10" cm="1">
        <f t="array" ref="Q123">SLOPE(M123:O123,M$1:O$1)</f>
        <v>17.67</v>
      </c>
      <c r="R123" s="11">
        <f t="shared" si="12"/>
        <v>63.2369343756677</v>
      </c>
      <c r="S123" s="11">
        <f t="shared" si="13"/>
        <v>25.1115921843343</v>
      </c>
    </row>
    <row r="124" spans="1:19">
      <c r="A124" s="5">
        <v>123</v>
      </c>
      <c r="B124" s="2">
        <v>66412746975</v>
      </c>
      <c r="C124" s="1">
        <v>0.38</v>
      </c>
      <c r="D124" s="1">
        <v>452376682293.478</v>
      </c>
      <c r="E124" s="1">
        <v>0.34</v>
      </c>
      <c r="F124" s="2">
        <v>16135039</v>
      </c>
      <c r="G124" s="1">
        <v>51</v>
      </c>
      <c r="H124" s="2">
        <v>15413991</v>
      </c>
      <c r="J124">
        <v>188.7</v>
      </c>
      <c r="K124">
        <v>32.9</v>
      </c>
      <c r="L124">
        <v>8.1</v>
      </c>
      <c r="M124">
        <v>267.8</v>
      </c>
      <c r="N124">
        <v>306.7</v>
      </c>
      <c r="O124">
        <v>346.7</v>
      </c>
      <c r="P124" s="10" cm="1">
        <f t="array" ref="P124">INTERCEPT(M124:O124,M$1:O$1)</f>
        <v>188.716666666667</v>
      </c>
      <c r="Q124" s="10" cm="1">
        <f t="array" ref="Q124">SLOPE(M124:O124,M$1:O$1)</f>
        <v>7.89</v>
      </c>
      <c r="R124" s="11">
        <f t="shared" si="12"/>
        <v>50.8075831008314</v>
      </c>
      <c r="S124" s="11">
        <f t="shared" si="13"/>
        <v>33.5924562066847</v>
      </c>
    </row>
    <row r="125" spans="1:19">
      <c r="A125" s="1">
        <v>124</v>
      </c>
      <c r="B125" s="2">
        <v>69744769171</v>
      </c>
      <c r="C125" s="1">
        <v>0.29</v>
      </c>
      <c r="D125" s="1">
        <v>483888127194.147</v>
      </c>
      <c r="E125" s="1">
        <v>0.42</v>
      </c>
      <c r="F125" s="2">
        <v>28071200</v>
      </c>
      <c r="G125" s="1">
        <v>25</v>
      </c>
      <c r="H125" s="2">
        <v>28768467</v>
      </c>
      <c r="J125">
        <v>131</v>
      </c>
      <c r="K125">
        <v>35</v>
      </c>
      <c r="L125">
        <v>12.31</v>
      </c>
      <c r="M125">
        <v>121</v>
      </c>
      <c r="N125">
        <v>125</v>
      </c>
      <c r="O125">
        <v>126</v>
      </c>
      <c r="P125" s="10" cm="1">
        <f t="array" ref="P125">INTERCEPT(M125:O125,M$1:O$1)</f>
        <v>116.5</v>
      </c>
      <c r="Q125" s="10" cm="1">
        <f t="array" ref="Q125">SLOPE(M125:O125,M$1:O$1)</f>
        <v>0.5</v>
      </c>
      <c r="R125" s="11">
        <f t="shared" si="12"/>
        <v>-19.4712209666339</v>
      </c>
      <c r="S125" s="11">
        <f t="shared" si="13"/>
        <v>82.3779400082328</v>
      </c>
    </row>
    <row r="126" spans="1:19">
      <c r="A126" s="5">
        <v>125</v>
      </c>
      <c r="B126" s="2">
        <v>26323414640</v>
      </c>
      <c r="C126" s="1">
        <v>0.15</v>
      </c>
      <c r="D126" s="1">
        <v>188841887634.783</v>
      </c>
      <c r="E126" s="1">
        <v>0.57</v>
      </c>
      <c r="F126" s="2">
        <v>38562315</v>
      </c>
      <c r="G126" s="1">
        <v>12</v>
      </c>
      <c r="H126" s="2">
        <v>14886955</v>
      </c>
      <c r="J126">
        <v>122</v>
      </c>
      <c r="K126">
        <v>13.5</v>
      </c>
      <c r="L126">
        <v>6.93</v>
      </c>
      <c r="M126">
        <v>101.8</v>
      </c>
      <c r="N126">
        <v>96.6</v>
      </c>
      <c r="O126">
        <v>92</v>
      </c>
      <c r="P126" s="10" cm="1">
        <f t="array" ref="P126">INTERCEPT(M126:O126,M$1:O$1)</f>
        <v>111.5</v>
      </c>
      <c r="Q126" s="10" cm="1">
        <f t="array" ref="Q126">SLOPE(M126:O126,M$1:O$1)</f>
        <v>-0.98</v>
      </c>
      <c r="R126" s="11" t="e">
        <f t="shared" si="12"/>
        <v>#NUM!</v>
      </c>
      <c r="S126" s="11" t="e">
        <f t="shared" si="13"/>
        <v>#NUM!</v>
      </c>
    </row>
    <row r="127" spans="1:19">
      <c r="A127" s="5">
        <v>126</v>
      </c>
      <c r="B127" s="2">
        <v>42723796037</v>
      </c>
      <c r="C127" s="1">
        <v>0.21</v>
      </c>
      <c r="D127" s="1">
        <v>301891286046.57</v>
      </c>
      <c r="E127" s="1">
        <v>0.3</v>
      </c>
      <c r="F127" s="2">
        <v>19818685</v>
      </c>
      <c r="G127" s="1">
        <v>23</v>
      </c>
      <c r="H127" s="2">
        <v>5161655</v>
      </c>
      <c r="J127">
        <v>79.9</v>
      </c>
      <c r="K127">
        <v>20</v>
      </c>
      <c r="L127">
        <v>2.84</v>
      </c>
      <c r="M127">
        <v>76.7</v>
      </c>
      <c r="N127">
        <v>77</v>
      </c>
      <c r="O127">
        <v>75</v>
      </c>
      <c r="P127" s="10" cm="1">
        <f t="array" ref="P127">INTERCEPT(M127:O127,M$1:O$1)</f>
        <v>78.7833333333333</v>
      </c>
      <c r="Q127" s="10" cm="1">
        <f t="array" ref="Q127">SLOPE(M127:O127,M$1:O$1)</f>
        <v>-0.17</v>
      </c>
      <c r="R127" s="11" t="e">
        <f t="shared" ref="R127:R158" si="14">ASIN((Q127-1)/(Q127+1))/3.1415926*180</f>
        <v>#NUM!</v>
      </c>
      <c r="S127" s="11" t="e">
        <f t="shared" ref="S127:S158" si="15">P127*(1-SIN(R127/180*3.1415926))/2/COS(R127/180*3.1415926)</f>
        <v>#NUM!</v>
      </c>
    </row>
    <row r="128" spans="1:19">
      <c r="A128" s="1">
        <v>127</v>
      </c>
      <c r="B128" s="2">
        <v>60213591903</v>
      </c>
      <c r="C128" s="1">
        <v>0.11</v>
      </c>
      <c r="D128" s="1">
        <v>436684157494.73</v>
      </c>
      <c r="E128" s="1">
        <v>0.46</v>
      </c>
      <c r="F128" s="2">
        <v>23978413</v>
      </c>
      <c r="G128" s="1">
        <v>32</v>
      </c>
      <c r="H128" s="2">
        <v>29899345</v>
      </c>
      <c r="J128">
        <v>143</v>
      </c>
      <c r="K128">
        <v>27</v>
      </c>
      <c r="L128">
        <v>12.45</v>
      </c>
      <c r="M128">
        <v>138.4</v>
      </c>
      <c r="N128">
        <v>144.9</v>
      </c>
      <c r="O128">
        <v>151.7</v>
      </c>
      <c r="P128" s="10" cm="1">
        <f t="array" ref="P128">INTERCEPT(M128:O128,M$1:O$1)</f>
        <v>125.05</v>
      </c>
      <c r="Q128" s="10" cm="1">
        <f t="array" ref="Q128">SLOPE(M128:O128,M$1:O$1)</f>
        <v>1.33</v>
      </c>
      <c r="R128" s="11">
        <f t="shared" si="14"/>
        <v>8.14223061543533</v>
      </c>
      <c r="S128" s="11">
        <f t="shared" si="15"/>
        <v>54.2160508444957</v>
      </c>
    </row>
    <row r="129" spans="1:19">
      <c r="A129" s="5">
        <v>128</v>
      </c>
      <c r="B129" s="2">
        <v>8840941129</v>
      </c>
      <c r="C129" s="1">
        <v>0.35</v>
      </c>
      <c r="D129" s="1">
        <v>60576818846.8519</v>
      </c>
      <c r="E129" s="1">
        <v>0.17</v>
      </c>
      <c r="F129" s="2">
        <v>38037130</v>
      </c>
      <c r="G129" s="1">
        <v>46</v>
      </c>
      <c r="H129" s="2">
        <v>13773324</v>
      </c>
      <c r="M129">
        <v>-10</v>
      </c>
      <c r="N129">
        <v>-15</v>
      </c>
      <c r="O129">
        <v>-20</v>
      </c>
      <c r="P129" s="10"/>
      <c r="Q129" s="10"/>
      <c r="R129" s="11"/>
      <c r="S129" s="11"/>
    </row>
    <row r="130" spans="1:19">
      <c r="A130" s="1">
        <v>129</v>
      </c>
      <c r="B130" s="2">
        <v>21997524994</v>
      </c>
      <c r="C130" s="1">
        <v>0.35</v>
      </c>
      <c r="D130" s="1">
        <v>150723782366.296</v>
      </c>
      <c r="E130" s="1">
        <v>0.5</v>
      </c>
      <c r="F130" s="2">
        <v>29239966</v>
      </c>
      <c r="G130" s="1">
        <v>24</v>
      </c>
      <c r="H130" s="2">
        <v>12852797</v>
      </c>
      <c r="J130">
        <v>162</v>
      </c>
      <c r="K130">
        <v>11.7</v>
      </c>
      <c r="L130">
        <v>6.92</v>
      </c>
      <c r="M130">
        <v>111</v>
      </c>
      <c r="N130">
        <v>109.3</v>
      </c>
      <c r="O130">
        <v>107.1</v>
      </c>
      <c r="P130" s="10" cm="1">
        <f t="array" ref="P130">INTERCEPT(M130:O130,M$1:O$1)</f>
        <v>114.983333333333</v>
      </c>
      <c r="Q130" s="10" cm="1">
        <f t="array" ref="Q130">SLOPE(M130:O130,M$1:O$1)</f>
        <v>-0.390000000000001</v>
      </c>
      <c r="R130" s="11" t="e">
        <f t="shared" si="14"/>
        <v>#NUM!</v>
      </c>
      <c r="S130" s="11" t="e">
        <f t="shared" si="15"/>
        <v>#NUM!</v>
      </c>
    </row>
    <row r="131" spans="1:19">
      <c r="A131" s="5">
        <v>130</v>
      </c>
      <c r="B131" s="2">
        <v>53735754851</v>
      </c>
      <c r="C131" s="1">
        <v>0.25</v>
      </c>
      <c r="D131" s="1">
        <v>376150283957</v>
      </c>
      <c r="E131" s="1">
        <v>0.58</v>
      </c>
      <c r="F131" s="2">
        <v>48633129</v>
      </c>
      <c r="G131" s="1">
        <v>15</v>
      </c>
      <c r="H131" s="2">
        <v>7276307</v>
      </c>
      <c r="J131">
        <v>157</v>
      </c>
      <c r="K131">
        <v>29.5</v>
      </c>
      <c r="L131">
        <v>4.41</v>
      </c>
      <c r="M131">
        <v>134.7</v>
      </c>
      <c r="N131">
        <v>130.7</v>
      </c>
      <c r="O131">
        <v>126.4</v>
      </c>
      <c r="P131" s="10" cm="1">
        <f t="array" ref="P131">INTERCEPT(M131:O131,M$1:O$1)</f>
        <v>143.05</v>
      </c>
      <c r="Q131" s="10" cm="1">
        <f t="array" ref="Q131">SLOPE(M131:O131,M$1:O$1)</f>
        <v>-0.829999999999998</v>
      </c>
      <c r="R131" s="11" t="e">
        <f t="shared" si="14"/>
        <v>#NUM!</v>
      </c>
      <c r="S131" s="11" t="e">
        <f t="shared" si="15"/>
        <v>#NUM!</v>
      </c>
    </row>
    <row r="132" spans="1:19">
      <c r="A132" s="5">
        <v>131</v>
      </c>
      <c r="B132" s="2">
        <v>60295772444</v>
      </c>
      <c r="C132" s="1">
        <v>0.19</v>
      </c>
      <c r="D132" s="1">
        <v>428150653068.74</v>
      </c>
      <c r="E132" s="1">
        <v>0.3</v>
      </c>
      <c r="F132" s="2">
        <v>6714066</v>
      </c>
      <c r="G132" s="1">
        <v>14</v>
      </c>
      <c r="H132" s="2">
        <v>11963926</v>
      </c>
      <c r="J132">
        <v>35</v>
      </c>
      <c r="K132">
        <v>32.8</v>
      </c>
      <c r="L132">
        <v>3.2</v>
      </c>
      <c r="M132">
        <v>20.5</v>
      </c>
      <c r="N132">
        <v>17.2</v>
      </c>
      <c r="O132">
        <v>13.9</v>
      </c>
      <c r="P132" s="10" cm="1">
        <f t="array" ref="P132">INTERCEPT(M132:O132,M$1:O$1)</f>
        <v>27.1</v>
      </c>
      <c r="Q132" s="10" cm="1">
        <f t="array" ref="Q132">SLOPE(M132:O132,M$1:O$1)</f>
        <v>-0.66</v>
      </c>
      <c r="R132" s="11" t="e">
        <f t="shared" si="14"/>
        <v>#NUM!</v>
      </c>
      <c r="S132" s="11" t="e">
        <f t="shared" si="15"/>
        <v>#NUM!</v>
      </c>
    </row>
    <row r="133" spans="1:19">
      <c r="A133" s="1">
        <v>132</v>
      </c>
      <c r="B133" s="2">
        <v>75455725061</v>
      </c>
      <c r="C133" s="1">
        <v>0.31</v>
      </c>
      <c r="D133" s="1">
        <v>521278100612.252</v>
      </c>
      <c r="E133" s="1">
        <v>0.58</v>
      </c>
      <c r="F133" s="2">
        <v>25764220</v>
      </c>
      <c r="G133" s="1">
        <v>52</v>
      </c>
      <c r="H133" s="2">
        <v>28114389</v>
      </c>
      <c r="J133">
        <v>296.7</v>
      </c>
      <c r="K133">
        <v>38.3</v>
      </c>
      <c r="L133">
        <v>13.92</v>
      </c>
      <c r="M133">
        <v>356</v>
      </c>
      <c r="N133">
        <v>400.7</v>
      </c>
      <c r="O133">
        <v>452.2</v>
      </c>
      <c r="P133" s="10" cm="1">
        <f t="array" ref="P133">INTERCEPT(M133:O133,M$1:O$1)</f>
        <v>258.666666666667</v>
      </c>
      <c r="Q133" s="10" cm="1">
        <f t="array" ref="Q133">SLOPE(M133:O133,M$1:O$1)</f>
        <v>9.62</v>
      </c>
      <c r="R133" s="11">
        <f t="shared" si="14"/>
        <v>54.2600148992219</v>
      </c>
      <c r="S133" s="11">
        <f t="shared" si="15"/>
        <v>41.6987402541724</v>
      </c>
    </row>
    <row r="134" spans="1:19">
      <c r="A134" s="5">
        <v>133</v>
      </c>
      <c r="B134" s="2">
        <v>22330523066</v>
      </c>
      <c r="C134" s="1">
        <v>0.17</v>
      </c>
      <c r="D134" s="1">
        <v>159367408206.068</v>
      </c>
      <c r="E134" s="1">
        <v>0.23</v>
      </c>
      <c r="F134" s="2">
        <v>45766335</v>
      </c>
      <c r="G134" s="1">
        <v>54</v>
      </c>
      <c r="H134" s="2">
        <v>4567920</v>
      </c>
      <c r="J134">
        <v>262</v>
      </c>
      <c r="K134">
        <v>9.66</v>
      </c>
      <c r="L134">
        <v>2.85</v>
      </c>
      <c r="M134">
        <v>-10</v>
      </c>
      <c r="N134">
        <v>-15</v>
      </c>
      <c r="O134">
        <v>-20</v>
      </c>
      <c r="P134" s="10"/>
      <c r="Q134" s="10"/>
      <c r="R134" s="11"/>
      <c r="S134" s="11"/>
    </row>
    <row r="135" spans="1:19">
      <c r="A135" s="1">
        <v>134</v>
      </c>
      <c r="B135" s="2">
        <v>13542878529</v>
      </c>
      <c r="C135" s="1">
        <v>0.3</v>
      </c>
      <c r="D135" s="1">
        <v>93758389816.1539</v>
      </c>
      <c r="E135" s="1">
        <v>0.13</v>
      </c>
      <c r="F135" s="2">
        <v>26297544</v>
      </c>
      <c r="G135" s="1">
        <v>57</v>
      </c>
      <c r="H135" s="2">
        <v>3428911</v>
      </c>
      <c r="J135">
        <v>142</v>
      </c>
      <c r="K135">
        <v>5.81</v>
      </c>
      <c r="L135">
        <v>2.11</v>
      </c>
      <c r="M135">
        <v>-10</v>
      </c>
      <c r="N135">
        <v>-15</v>
      </c>
      <c r="O135">
        <v>-20</v>
      </c>
      <c r="P135" s="10"/>
      <c r="Q135" s="10"/>
      <c r="R135" s="11"/>
      <c r="S135" s="11"/>
    </row>
    <row r="136" spans="1:19">
      <c r="A136" s="5">
        <v>135</v>
      </c>
      <c r="B136" s="2">
        <v>67370724351</v>
      </c>
      <c r="C136" s="1">
        <v>0.14</v>
      </c>
      <c r="D136" s="1">
        <v>484596438314.211</v>
      </c>
      <c r="E136" s="1">
        <v>0.51</v>
      </c>
      <c r="F136" s="2">
        <v>6579631</v>
      </c>
      <c r="G136" s="1">
        <v>18</v>
      </c>
      <c r="H136" s="2">
        <v>6512262</v>
      </c>
      <c r="J136">
        <v>42</v>
      </c>
      <c r="K136">
        <v>28</v>
      </c>
      <c r="L136">
        <v>1.4</v>
      </c>
      <c r="M136">
        <v>20.6</v>
      </c>
      <c r="N136">
        <v>20.6</v>
      </c>
      <c r="O136">
        <v>17.9</v>
      </c>
      <c r="P136" s="10" cm="1">
        <f t="array" ref="P136">INTERCEPT(M136:O136,M$1:O$1)</f>
        <v>23.75</v>
      </c>
      <c r="Q136" s="10" cm="1">
        <f t="array" ref="Q136">SLOPE(M136:O136,M$1:O$1)</f>
        <v>-0.27</v>
      </c>
      <c r="R136" s="11" t="e">
        <f t="shared" si="14"/>
        <v>#NUM!</v>
      </c>
      <c r="S136" s="11" t="e">
        <f t="shared" si="15"/>
        <v>#NUM!</v>
      </c>
    </row>
    <row r="137" spans="1:19">
      <c r="A137" s="5">
        <v>136</v>
      </c>
      <c r="B137" s="2">
        <v>72471518512</v>
      </c>
      <c r="C137" s="1">
        <v>0.38</v>
      </c>
      <c r="D137" s="1">
        <v>493646575371.594</v>
      </c>
      <c r="E137" s="1">
        <v>0.25</v>
      </c>
      <c r="F137" s="2">
        <v>48903630</v>
      </c>
      <c r="G137" s="1">
        <v>57</v>
      </c>
      <c r="H137" s="2">
        <v>6006561</v>
      </c>
      <c r="J137">
        <v>409</v>
      </c>
      <c r="K137">
        <v>34.6</v>
      </c>
      <c r="L137">
        <v>3.56</v>
      </c>
      <c r="M137">
        <v>555.2</v>
      </c>
      <c r="N137">
        <v>655.6</v>
      </c>
      <c r="O137">
        <v>702</v>
      </c>
      <c r="P137" s="10" cm="1">
        <f t="array" ref="P137">INTERCEPT(M137:O137,M$1:O$1)</f>
        <v>417.4</v>
      </c>
      <c r="Q137" s="10" cm="1">
        <f t="array" ref="Q137">SLOPE(M137:O137,M$1:O$1)</f>
        <v>14.68</v>
      </c>
      <c r="R137" s="11">
        <f t="shared" si="14"/>
        <v>60.7444870624581</v>
      </c>
      <c r="S137" s="11">
        <f t="shared" si="15"/>
        <v>54.4702566139158</v>
      </c>
    </row>
    <row r="138" spans="1:19">
      <c r="A138" s="1">
        <v>137</v>
      </c>
      <c r="B138" s="2">
        <v>38882633233</v>
      </c>
      <c r="C138" s="1">
        <v>0.34</v>
      </c>
      <c r="D138" s="1">
        <v>266955392345.97</v>
      </c>
      <c r="E138" s="1">
        <v>0.16</v>
      </c>
      <c r="F138" s="2">
        <v>39991006</v>
      </c>
      <c r="G138" s="1">
        <v>55</v>
      </c>
      <c r="H138" s="2">
        <v>11668104</v>
      </c>
      <c r="J138">
        <v>290.5</v>
      </c>
      <c r="K138">
        <v>17.4</v>
      </c>
      <c r="L138">
        <v>7.32</v>
      </c>
      <c r="M138">
        <v>-20</v>
      </c>
      <c r="N138">
        <v>362.1</v>
      </c>
      <c r="O138">
        <v>388.4</v>
      </c>
      <c r="P138" s="10" cm="1">
        <f t="array" ref="P138">INTERCEPT(M138:O138,M$1:O$1)</f>
        <v>-369.1</v>
      </c>
      <c r="Q138" s="10" cm="1">
        <f t="array" ref="Q138">SLOPE(M138:O138,M$1:O$1)</f>
        <v>40.84</v>
      </c>
      <c r="R138" s="11">
        <f t="shared" si="14"/>
        <v>72.2130245782839</v>
      </c>
      <c r="S138" s="11">
        <f t="shared" si="15"/>
        <v>-28.8782706828123</v>
      </c>
    </row>
    <row r="139" spans="1:19">
      <c r="A139" s="5">
        <v>138</v>
      </c>
      <c r="B139" s="2">
        <v>68700271803</v>
      </c>
      <c r="C139" s="1">
        <v>0.38</v>
      </c>
      <c r="D139" s="1">
        <v>467958373150.87</v>
      </c>
      <c r="E139" s="1">
        <v>0.57</v>
      </c>
      <c r="F139" s="2">
        <v>6330794</v>
      </c>
      <c r="G139" s="1">
        <v>25</v>
      </c>
      <c r="H139" s="2">
        <v>10292563</v>
      </c>
      <c r="J139">
        <v>46.8</v>
      </c>
      <c r="K139">
        <v>50.3</v>
      </c>
      <c r="L139">
        <v>3.43</v>
      </c>
      <c r="M139">
        <v>37.4</v>
      </c>
      <c r="N139">
        <v>38.9</v>
      </c>
      <c r="O139">
        <v>40.2</v>
      </c>
      <c r="P139" s="10" cm="1">
        <f t="array" ref="P139">INTERCEPT(M139:O139,M$1:O$1)</f>
        <v>34.6333333333333</v>
      </c>
      <c r="Q139" s="10" cm="1">
        <f t="array" ref="Q139">SLOPE(M139:O139,M$1:O$1)</f>
        <v>0.28</v>
      </c>
      <c r="R139" s="11">
        <f t="shared" si="14"/>
        <v>-34.2288669116941</v>
      </c>
      <c r="S139" s="11">
        <f t="shared" si="15"/>
        <v>32.7254239547156</v>
      </c>
    </row>
    <row r="140" spans="1:19">
      <c r="A140" s="1">
        <v>139</v>
      </c>
      <c r="B140" s="2">
        <v>64164023385</v>
      </c>
      <c r="C140" s="1">
        <v>0.31</v>
      </c>
      <c r="D140" s="1">
        <v>443270543232.252</v>
      </c>
      <c r="E140" s="1">
        <v>0.33</v>
      </c>
      <c r="F140" s="2">
        <v>40553536</v>
      </c>
      <c r="G140" s="1">
        <v>51</v>
      </c>
      <c r="H140" s="2">
        <v>18766292</v>
      </c>
      <c r="J140">
        <v>328.5</v>
      </c>
      <c r="K140">
        <v>30.4</v>
      </c>
      <c r="L140">
        <v>10.41</v>
      </c>
      <c r="M140">
        <v>400</v>
      </c>
      <c r="N140">
        <v>420.9</v>
      </c>
      <c r="O140">
        <v>451</v>
      </c>
      <c r="P140" s="10" cm="1">
        <f t="array" ref="P140">INTERCEPT(M140:O140,M$1:O$1)</f>
        <v>347.466666666667</v>
      </c>
      <c r="Q140" s="10" cm="1">
        <f t="array" ref="Q140">SLOPE(M140:O140,M$1:O$1)</f>
        <v>5.1</v>
      </c>
      <c r="R140" s="11">
        <f t="shared" si="14"/>
        <v>42.2317623589181</v>
      </c>
      <c r="S140" s="11">
        <f t="shared" si="15"/>
        <v>76.9304130572496</v>
      </c>
    </row>
    <row r="141" spans="1:19">
      <c r="A141" s="5">
        <v>140</v>
      </c>
      <c r="B141" s="2">
        <v>63967639014</v>
      </c>
      <c r="C141" s="1">
        <v>0.17</v>
      </c>
      <c r="D141" s="1">
        <v>456521184416.154</v>
      </c>
      <c r="E141" s="1">
        <v>0.3</v>
      </c>
      <c r="F141" s="2">
        <v>40026347</v>
      </c>
      <c r="G141" s="1">
        <v>49</v>
      </c>
      <c r="H141" s="2">
        <v>16437294</v>
      </c>
      <c r="J141">
        <v>299</v>
      </c>
      <c r="K141">
        <v>28.3</v>
      </c>
      <c r="L141">
        <v>9.12</v>
      </c>
      <c r="M141">
        <v>353</v>
      </c>
      <c r="N141">
        <v>377.5</v>
      </c>
      <c r="O141">
        <v>400.6</v>
      </c>
      <c r="P141" s="10" cm="1">
        <f t="array" ref="P141">INTERCEPT(M141:O141,M$1:O$1)</f>
        <v>305.633333333333</v>
      </c>
      <c r="Q141" s="10" cm="1">
        <f t="array" ref="Q141">SLOPE(M141:O141,M$1:O$1)</f>
        <v>4.76</v>
      </c>
      <c r="R141" s="11">
        <f t="shared" si="14"/>
        <v>40.7513639908152</v>
      </c>
      <c r="S141" s="11">
        <f t="shared" si="15"/>
        <v>70.0434043270972</v>
      </c>
    </row>
    <row r="142" spans="1:19">
      <c r="A142" s="5">
        <v>141</v>
      </c>
      <c r="B142" s="2">
        <v>57404409950</v>
      </c>
      <c r="C142" s="1">
        <v>0.3</v>
      </c>
      <c r="D142" s="1">
        <v>397415145807.692</v>
      </c>
      <c r="E142" s="1">
        <v>0.54</v>
      </c>
      <c r="F142" s="2">
        <v>7251863</v>
      </c>
      <c r="G142" s="1">
        <v>45</v>
      </c>
      <c r="H142" s="2">
        <v>4682131</v>
      </c>
      <c r="J142">
        <v>96.5</v>
      </c>
      <c r="K142">
        <v>33.5</v>
      </c>
      <c r="L142">
        <v>2.75</v>
      </c>
      <c r="M142">
        <v>130.2</v>
      </c>
      <c r="N142">
        <v>160</v>
      </c>
      <c r="O142">
        <v>187.7</v>
      </c>
      <c r="P142" s="10" cm="1">
        <f t="array" ref="P142">INTERCEPT(M142:O142,M$1:O$1)</f>
        <v>73.05</v>
      </c>
      <c r="Q142" s="10" cm="1">
        <f t="array" ref="Q142">SLOPE(M142:O142,M$1:O$1)</f>
        <v>5.75</v>
      </c>
      <c r="R142" s="11">
        <f t="shared" si="14"/>
        <v>44.7249139178585</v>
      </c>
      <c r="S142" s="11">
        <f t="shared" si="15"/>
        <v>15.2319779468693</v>
      </c>
    </row>
    <row r="143" spans="1:19">
      <c r="A143" s="1">
        <v>142</v>
      </c>
      <c r="B143" s="2">
        <v>26941145516</v>
      </c>
      <c r="C143" s="1">
        <v>0.29</v>
      </c>
      <c r="D143" s="1">
        <v>186917249897.829</v>
      </c>
      <c r="E143" s="1">
        <v>0.38</v>
      </c>
      <c r="F143" s="2">
        <v>27886955</v>
      </c>
      <c r="G143" s="1">
        <v>25</v>
      </c>
      <c r="H143" s="2">
        <v>11555539</v>
      </c>
      <c r="J143">
        <v>112.9</v>
      </c>
      <c r="K143">
        <v>13.1</v>
      </c>
      <c r="L143">
        <v>6.44</v>
      </c>
      <c r="M143">
        <v>110.8</v>
      </c>
      <c r="N143">
        <v>110.7</v>
      </c>
      <c r="O143">
        <v>109</v>
      </c>
      <c r="P143" s="10" cm="1">
        <f t="array" ref="P143">INTERCEPT(M143:O143,M$1:O$1)</f>
        <v>112.866666666667</v>
      </c>
      <c r="Q143" s="10" cm="1">
        <f t="array" ref="Q143">SLOPE(M143:O143,M$1:O$1)</f>
        <v>-0.180000000000001</v>
      </c>
      <c r="R143" s="11" t="e">
        <f t="shared" si="14"/>
        <v>#NUM!</v>
      </c>
      <c r="S143" s="11" t="e">
        <f t="shared" si="15"/>
        <v>#NUM!</v>
      </c>
    </row>
    <row r="144" spans="1:19">
      <c r="A144" s="5">
        <v>143</v>
      </c>
      <c r="B144" s="2">
        <v>5655279702</v>
      </c>
      <c r="C144" s="1">
        <v>0.19</v>
      </c>
      <c r="D144" s="1">
        <v>40157238220.084</v>
      </c>
      <c r="E144" s="1">
        <v>0.56</v>
      </c>
      <c r="F144" s="2">
        <v>28549676</v>
      </c>
      <c r="G144" s="1">
        <v>47</v>
      </c>
      <c r="H144" s="2">
        <v>11132678</v>
      </c>
      <c r="M144">
        <v>-10</v>
      </c>
      <c r="N144">
        <v>-15</v>
      </c>
      <c r="O144">
        <v>-20</v>
      </c>
      <c r="P144" s="10"/>
      <c r="Q144" s="10"/>
      <c r="R144" s="11"/>
      <c r="S144" s="11"/>
    </row>
    <row r="145" spans="1:19">
      <c r="A145" s="1">
        <v>144</v>
      </c>
      <c r="B145" s="2">
        <v>46932356474</v>
      </c>
      <c r="C145" s="1">
        <v>0.29</v>
      </c>
      <c r="D145" s="1">
        <v>325615961583.178</v>
      </c>
      <c r="E145" s="1">
        <v>0.26</v>
      </c>
      <c r="F145" s="2">
        <v>32045610</v>
      </c>
      <c r="G145" s="1">
        <v>12</v>
      </c>
      <c r="H145" s="2">
        <v>27030543</v>
      </c>
      <c r="J145">
        <v>104.9</v>
      </c>
      <c r="K145">
        <v>22.61</v>
      </c>
      <c r="L145">
        <v>9.19</v>
      </c>
      <c r="M145">
        <v>89.5</v>
      </c>
      <c r="N145">
        <v>82.7</v>
      </c>
      <c r="O145">
        <v>76.5</v>
      </c>
      <c r="P145" s="10" cm="1">
        <f t="array" ref="P145">INTERCEPT(M145:O145,M$1:O$1)</f>
        <v>102.4</v>
      </c>
      <c r="Q145" s="10" cm="1">
        <f t="array" ref="Q145">SLOPE(M145:O145,M$1:O$1)</f>
        <v>-1.3</v>
      </c>
      <c r="R145" s="11" t="e">
        <f t="shared" si="14"/>
        <v>#NUM!</v>
      </c>
      <c r="S145" s="11" t="e">
        <f t="shared" si="15"/>
        <v>#NUM!</v>
      </c>
    </row>
    <row r="146" spans="1:19">
      <c r="A146" s="5">
        <v>145</v>
      </c>
      <c r="B146" s="2">
        <v>4982617199</v>
      </c>
      <c r="C146" s="1">
        <v>0.15</v>
      </c>
      <c r="D146" s="1">
        <v>35744862514.5652</v>
      </c>
      <c r="E146" s="1">
        <v>0.51</v>
      </c>
      <c r="F146" s="2">
        <v>6748885</v>
      </c>
      <c r="G146" s="1">
        <v>51</v>
      </c>
      <c r="H146" s="2">
        <v>18430077</v>
      </c>
      <c r="M146">
        <v>-10</v>
      </c>
      <c r="N146">
        <v>-15</v>
      </c>
      <c r="O146">
        <v>-20</v>
      </c>
      <c r="P146" s="10"/>
      <c r="Q146" s="10"/>
      <c r="R146" s="11"/>
      <c r="S146" s="11"/>
    </row>
    <row r="147" spans="1:19">
      <c r="A147" s="5">
        <v>146</v>
      </c>
      <c r="B147" s="2">
        <v>29934254660</v>
      </c>
      <c r="C147" s="1">
        <v>0.11</v>
      </c>
      <c r="D147" s="1">
        <v>217090765777.477</v>
      </c>
      <c r="E147" s="1">
        <v>0.1</v>
      </c>
      <c r="F147" s="2">
        <v>44127240</v>
      </c>
      <c r="G147" s="1">
        <v>26</v>
      </c>
      <c r="H147" s="2">
        <v>6343433</v>
      </c>
      <c r="J147">
        <v>159.7</v>
      </c>
      <c r="K147">
        <v>11.36</v>
      </c>
      <c r="L147">
        <v>3.46</v>
      </c>
      <c r="M147">
        <v>162.8</v>
      </c>
      <c r="N147">
        <v>167.6</v>
      </c>
      <c r="O147">
        <v>165.6</v>
      </c>
      <c r="P147" s="10" cm="1">
        <f t="array" ref="P147">INTERCEPT(M147:O147,M$1:O$1)</f>
        <v>161.133333333333</v>
      </c>
      <c r="Q147" s="10" cm="1">
        <f t="array" ref="Q147">SLOPE(M147:O147,M$1:O$1)</f>
        <v>0.279999999999998</v>
      </c>
      <c r="R147" s="11">
        <f t="shared" si="14"/>
        <v>-34.2288669116942</v>
      </c>
      <c r="S147" s="11">
        <f t="shared" si="15"/>
        <v>152.256688543884</v>
      </c>
    </row>
    <row r="148" spans="1:19">
      <c r="A148" s="1">
        <v>147</v>
      </c>
      <c r="B148" s="2">
        <v>15990045912</v>
      </c>
      <c r="C148" s="1">
        <v>0.34</v>
      </c>
      <c r="D148" s="1">
        <v>109782404768.955</v>
      </c>
      <c r="E148" s="1">
        <v>0.32</v>
      </c>
      <c r="F148" s="2">
        <v>7681191</v>
      </c>
      <c r="G148" s="1">
        <v>35</v>
      </c>
      <c r="H148" s="2">
        <v>2056518</v>
      </c>
      <c r="J148">
        <v>43.8</v>
      </c>
      <c r="K148">
        <v>8.22</v>
      </c>
      <c r="L148">
        <v>1.22</v>
      </c>
      <c r="M148">
        <v>58.8</v>
      </c>
      <c r="N148">
        <v>65.3</v>
      </c>
      <c r="O148">
        <v>71.8</v>
      </c>
      <c r="P148" s="10" cm="1">
        <f t="array" ref="P148">INTERCEPT(M148:O148,M$1:O$1)</f>
        <v>45.8</v>
      </c>
      <c r="Q148" s="10" cm="1">
        <f t="array" ref="Q148">SLOPE(M148:O148,M$1:O$1)</f>
        <v>1.3</v>
      </c>
      <c r="R148" s="11">
        <f t="shared" si="14"/>
        <v>7.49471758177279</v>
      </c>
      <c r="S148" s="11">
        <f t="shared" si="15"/>
        <v>20.084628642131</v>
      </c>
    </row>
    <row r="149" spans="1:19">
      <c r="A149" s="5">
        <v>148</v>
      </c>
      <c r="B149" s="2">
        <v>59482855899</v>
      </c>
      <c r="C149" s="1">
        <v>0.28</v>
      </c>
      <c r="D149" s="1">
        <v>413591732422.734</v>
      </c>
      <c r="E149" s="1">
        <v>0.54</v>
      </c>
      <c r="F149" s="2">
        <v>40870162</v>
      </c>
      <c r="G149" s="1">
        <v>28</v>
      </c>
      <c r="H149" s="2">
        <v>7573293</v>
      </c>
      <c r="J149">
        <v>175.5</v>
      </c>
      <c r="K149">
        <v>31.65</v>
      </c>
      <c r="L149">
        <v>4.93</v>
      </c>
      <c r="M149">
        <v>174.2</v>
      </c>
      <c r="N149">
        <v>179.7</v>
      </c>
      <c r="O149">
        <v>182.3</v>
      </c>
      <c r="P149" s="10" cm="1">
        <f t="array" ref="P149">INTERCEPT(M149:O149,M$1:O$1)</f>
        <v>166.583333333333</v>
      </c>
      <c r="Q149" s="10" cm="1">
        <f t="array" ref="Q149">SLOPE(M149:O149,M$1:O$1)</f>
        <v>0.810000000000002</v>
      </c>
      <c r="R149" s="11">
        <f t="shared" si="14"/>
        <v>-6.02557511115183</v>
      </c>
      <c r="S149" s="11">
        <f t="shared" si="15"/>
        <v>92.5462962962961</v>
      </c>
    </row>
    <row r="150" spans="1:19">
      <c r="A150" s="1">
        <v>149</v>
      </c>
      <c r="B150" s="2">
        <v>43356616196</v>
      </c>
      <c r="C150" s="1">
        <v>0.31</v>
      </c>
      <c r="D150" s="1">
        <v>299524714941.832</v>
      </c>
      <c r="E150" s="1">
        <v>0.42</v>
      </c>
      <c r="F150" s="2">
        <v>30656584</v>
      </c>
      <c r="G150" s="1">
        <v>18</v>
      </c>
      <c r="H150" s="2">
        <v>14111222</v>
      </c>
      <c r="J150">
        <v>111.5</v>
      </c>
      <c r="K150">
        <v>21</v>
      </c>
      <c r="L150">
        <v>5.87</v>
      </c>
      <c r="M150">
        <v>95.5</v>
      </c>
      <c r="N150">
        <v>97.3</v>
      </c>
      <c r="O150">
        <v>95.3</v>
      </c>
      <c r="P150" s="10" cm="1">
        <f t="array" ref="P150">INTERCEPT(M150:O150,M$1:O$1)</f>
        <v>96.3333333333333</v>
      </c>
      <c r="Q150" s="10" cm="1">
        <f t="array" ref="Q150">SLOPE(M150:O150,M$1:O$1)</f>
        <v>-0.0199999999999989</v>
      </c>
      <c r="R150" s="11" t="e">
        <f t="shared" si="14"/>
        <v>#NUM!</v>
      </c>
      <c r="S150" s="11" t="e">
        <f t="shared" si="15"/>
        <v>#NUM!</v>
      </c>
    </row>
    <row r="151" spans="1:19">
      <c r="A151" s="5">
        <v>150</v>
      </c>
      <c r="B151" s="2">
        <v>61977987244</v>
      </c>
      <c r="C151" s="1">
        <v>0.33</v>
      </c>
      <c r="D151" s="1">
        <v>426389912242.556</v>
      </c>
      <c r="E151" s="1">
        <v>0.11</v>
      </c>
      <c r="F151" s="2">
        <v>11133414</v>
      </c>
      <c r="G151" s="1">
        <v>49</v>
      </c>
      <c r="H151" s="2">
        <v>8650182</v>
      </c>
      <c r="J151">
        <v>118.7</v>
      </c>
      <c r="K151">
        <v>24.2</v>
      </c>
      <c r="L151">
        <v>3.67</v>
      </c>
      <c r="M151">
        <v>180</v>
      </c>
      <c r="N151">
        <v>203.6</v>
      </c>
      <c r="O151">
        <v>234</v>
      </c>
      <c r="P151" s="10" cm="1">
        <f t="array" ref="P151">INTERCEPT(M151:O151,M$1:O$1)</f>
        <v>124.866666666667</v>
      </c>
      <c r="Q151" s="10" cm="1">
        <f t="array" ref="Q151">SLOPE(M151:O151,M$1:O$1)</f>
        <v>5.4</v>
      </c>
      <c r="R151" s="11">
        <f t="shared" si="14"/>
        <v>43.432537298669</v>
      </c>
      <c r="S151" s="11">
        <f t="shared" si="15"/>
        <v>26.8670289164685</v>
      </c>
    </row>
    <row r="152" spans="1:19">
      <c r="A152" s="5">
        <v>151</v>
      </c>
      <c r="B152" s="2">
        <v>66087112522</v>
      </c>
      <c r="C152" s="1">
        <v>0.1</v>
      </c>
      <c r="D152" s="1">
        <v>480633545614.545</v>
      </c>
      <c r="E152" s="1">
        <v>0.28</v>
      </c>
      <c r="F152" s="2">
        <v>29865517</v>
      </c>
      <c r="G152" s="1">
        <v>28</v>
      </c>
      <c r="H152" s="2">
        <v>2925839</v>
      </c>
      <c r="J152">
        <v>122.8</v>
      </c>
      <c r="K152">
        <v>29.7</v>
      </c>
      <c r="L152">
        <v>1.55</v>
      </c>
      <c r="M152">
        <v>132.1</v>
      </c>
      <c r="N152">
        <v>141.4</v>
      </c>
      <c r="O152">
        <v>145.2</v>
      </c>
      <c r="P152" s="10" cm="1">
        <f t="array" ref="P152">INTERCEPT(M152:O152,M$1:O$1)</f>
        <v>119.916666666667</v>
      </c>
      <c r="Q152" s="10" cm="1">
        <f t="array" ref="Q152">SLOPE(M152:O152,M$1:O$1)</f>
        <v>1.31</v>
      </c>
      <c r="R152" s="11">
        <f t="shared" si="14"/>
        <v>7.71231239249306</v>
      </c>
      <c r="S152" s="11">
        <f t="shared" si="15"/>
        <v>52.3858390639681</v>
      </c>
    </row>
    <row r="153" spans="1:19">
      <c r="A153" s="1">
        <v>152</v>
      </c>
      <c r="B153" s="2">
        <v>17780336759</v>
      </c>
      <c r="C153" s="1">
        <v>0.37</v>
      </c>
      <c r="D153" s="1">
        <v>121347553793.175</v>
      </c>
      <c r="E153" s="1">
        <v>0.16</v>
      </c>
      <c r="F153" s="2">
        <v>30303897</v>
      </c>
      <c r="G153" s="1">
        <v>33</v>
      </c>
      <c r="H153" s="2">
        <v>7694399</v>
      </c>
      <c r="J153">
        <v>129</v>
      </c>
      <c r="K153">
        <v>8.07</v>
      </c>
      <c r="L153">
        <v>4.79</v>
      </c>
      <c r="M153">
        <v>139.3</v>
      </c>
      <c r="N153">
        <v>141</v>
      </c>
      <c r="O153">
        <v>145.6</v>
      </c>
      <c r="P153" s="10" cm="1">
        <f t="array" ref="P153">INTERCEPT(M153:O153,M$1:O$1)</f>
        <v>132.516666666667</v>
      </c>
      <c r="Q153" s="10" cm="1">
        <f t="array" ref="Q153">SLOPE(M153:O153,M$1:O$1)</f>
        <v>0.629999999999998</v>
      </c>
      <c r="R153" s="11">
        <f t="shared" si="14"/>
        <v>-13.1201525773463</v>
      </c>
      <c r="S153" s="11">
        <f t="shared" si="15"/>
        <v>83.4776534693436</v>
      </c>
    </row>
    <row r="154" spans="1:19">
      <c r="A154" s="5">
        <v>153</v>
      </c>
      <c r="B154" s="2">
        <v>37051724126</v>
      </c>
      <c r="C154" s="1">
        <v>0.34</v>
      </c>
      <c r="D154" s="1">
        <v>254384971611.343</v>
      </c>
      <c r="E154" s="1">
        <v>0.39</v>
      </c>
      <c r="F154" s="2">
        <v>21283497</v>
      </c>
      <c r="G154" s="1">
        <v>34</v>
      </c>
      <c r="H154" s="2">
        <v>24942915</v>
      </c>
      <c r="J154">
        <v>123</v>
      </c>
      <c r="K154">
        <v>18.5</v>
      </c>
      <c r="L154">
        <v>10.45</v>
      </c>
      <c r="M154">
        <v>130.5</v>
      </c>
      <c r="N154">
        <v>136.5</v>
      </c>
      <c r="O154">
        <v>141.8</v>
      </c>
      <c r="P154" s="10" cm="1">
        <f t="array" ref="P154">INTERCEPT(M154:O154,M$1:O$1)</f>
        <v>119.316666666667</v>
      </c>
      <c r="Q154" s="10" cm="1">
        <f t="array" ref="Q154">SLOPE(M154:O154,M$1:O$1)</f>
        <v>1.13</v>
      </c>
      <c r="R154" s="11">
        <f t="shared" si="14"/>
        <v>3.49910023116126</v>
      </c>
      <c r="S154" s="11">
        <f t="shared" si="15"/>
        <v>56.1218391396514</v>
      </c>
    </row>
    <row r="155" spans="1:19">
      <c r="A155" s="1">
        <v>154</v>
      </c>
      <c r="B155" s="2">
        <v>51075308579</v>
      </c>
      <c r="C155" s="1">
        <v>0.19</v>
      </c>
      <c r="D155" s="1">
        <v>362677611338.277</v>
      </c>
      <c r="E155" s="1">
        <v>0.36</v>
      </c>
      <c r="F155" s="2">
        <v>33426749</v>
      </c>
      <c r="G155" s="1">
        <v>50</v>
      </c>
      <c r="H155" s="2">
        <v>20267265</v>
      </c>
      <c r="J155">
        <v>260</v>
      </c>
      <c r="K155">
        <v>23.11</v>
      </c>
      <c r="L155">
        <v>10.52</v>
      </c>
      <c r="M155">
        <v>317.2</v>
      </c>
      <c r="N155">
        <v>344.1</v>
      </c>
      <c r="O155">
        <v>376.1</v>
      </c>
      <c r="P155" s="10" cm="1">
        <f t="array" ref="P155">INTERCEPT(M155:O155,M$1:O$1)</f>
        <v>257.45</v>
      </c>
      <c r="Q155" s="10" cm="1">
        <f t="array" ref="Q155">SLOPE(M155:O155,M$1:O$1)</f>
        <v>5.89</v>
      </c>
      <c r="R155" s="11">
        <f t="shared" si="14"/>
        <v>45.2124837763903</v>
      </c>
      <c r="S155" s="11">
        <f t="shared" si="15"/>
        <v>53.0402122252845</v>
      </c>
    </row>
    <row r="156" spans="1:19">
      <c r="A156" s="5">
        <v>155</v>
      </c>
      <c r="B156" s="2">
        <v>39023245530</v>
      </c>
      <c r="C156" s="1">
        <v>0.16</v>
      </c>
      <c r="D156" s="1">
        <v>279218049912.931</v>
      </c>
      <c r="E156" s="1">
        <v>0.31</v>
      </c>
      <c r="F156" s="2">
        <v>16292196</v>
      </c>
      <c r="G156" s="1">
        <v>59</v>
      </c>
      <c r="H156" s="2">
        <v>4795765</v>
      </c>
      <c r="M156">
        <v>-10</v>
      </c>
      <c r="N156">
        <v>-15</v>
      </c>
      <c r="O156">
        <v>-20</v>
      </c>
      <c r="P156" s="10"/>
      <c r="Q156" s="10"/>
      <c r="R156" s="11"/>
      <c r="S156" s="11"/>
    </row>
    <row r="157" spans="1:19">
      <c r="A157" s="5">
        <v>156</v>
      </c>
      <c r="B157" s="2">
        <v>1179389861</v>
      </c>
      <c r="C157" s="1">
        <v>0.36</v>
      </c>
      <c r="D157" s="14">
        <v>8064945373.01471</v>
      </c>
      <c r="E157" s="1">
        <v>0.4</v>
      </c>
      <c r="F157" s="2">
        <v>19413044</v>
      </c>
      <c r="G157" s="1">
        <v>57</v>
      </c>
      <c r="H157" s="2">
        <v>21319127</v>
      </c>
      <c r="M157">
        <v>-10</v>
      </c>
      <c r="N157">
        <v>-15</v>
      </c>
      <c r="O157">
        <v>-20</v>
      </c>
      <c r="P157" s="10"/>
      <c r="Q157" s="10"/>
      <c r="R157" s="11"/>
      <c r="S157" s="11"/>
    </row>
    <row r="158" spans="1:19">
      <c r="A158" s="1">
        <v>157</v>
      </c>
      <c r="B158" s="2">
        <v>44813094205</v>
      </c>
      <c r="C158" s="1">
        <v>0.36</v>
      </c>
      <c r="D158" s="1">
        <v>306442482431.25</v>
      </c>
      <c r="E158" s="1">
        <v>0.22</v>
      </c>
      <c r="F158" s="2">
        <v>32136311</v>
      </c>
      <c r="G158" s="1">
        <v>26</v>
      </c>
      <c r="H158" s="2">
        <v>17828428</v>
      </c>
      <c r="J158">
        <v>129.4</v>
      </c>
      <c r="K158">
        <v>21.44</v>
      </c>
      <c r="L158">
        <v>8.49</v>
      </c>
      <c r="M158">
        <v>-20</v>
      </c>
      <c r="N158">
        <v>138</v>
      </c>
      <c r="O158">
        <v>137.6</v>
      </c>
      <c r="P158" s="10" cm="1">
        <f t="array" ref="P158">INTERCEPT(M158:O158,M$1:O$1)</f>
        <v>-151.2</v>
      </c>
      <c r="Q158" s="10" cm="1">
        <f t="array" ref="Q158">SLOPE(M158:O158,M$1:O$1)</f>
        <v>15.76</v>
      </c>
      <c r="R158" s="11">
        <f t="shared" si="14"/>
        <v>61.723081359078</v>
      </c>
      <c r="S158" s="11">
        <f t="shared" si="15"/>
        <v>-19.0433648863034</v>
      </c>
    </row>
    <row r="159" spans="1:19">
      <c r="A159" s="5">
        <v>158</v>
      </c>
      <c r="B159" s="2">
        <v>76834646596</v>
      </c>
      <c r="C159" s="1">
        <v>0.24</v>
      </c>
      <c r="D159" s="1">
        <v>539081794665.484</v>
      </c>
      <c r="E159" s="1">
        <v>0.18</v>
      </c>
      <c r="F159" s="2">
        <v>1746424</v>
      </c>
      <c r="G159" s="1">
        <v>12</v>
      </c>
      <c r="H159" s="2">
        <v>17065814</v>
      </c>
      <c r="J159">
        <v>13.35</v>
      </c>
      <c r="K159">
        <v>35.4</v>
      </c>
      <c r="L159">
        <v>0.85</v>
      </c>
      <c r="M159">
        <v>7.14</v>
      </c>
      <c r="N159">
        <v>3.4</v>
      </c>
      <c r="O159">
        <v>-1.1</v>
      </c>
      <c r="P159" s="10" cm="1">
        <f t="array" ref="P159">INTERCEPT(M159:O159,M$1:O$1)</f>
        <v>15.5066666666667</v>
      </c>
      <c r="Q159" s="10" cm="1">
        <f t="array" ref="Q159">SLOPE(M159:O159,M$1:O$1)</f>
        <v>-0.824</v>
      </c>
      <c r="R159" s="11" t="e">
        <f t="shared" ref="R159:R201" si="16">ASIN((Q159-1)/(Q159+1))/3.1415926*180</f>
        <v>#NUM!</v>
      </c>
      <c r="S159" s="11" t="e">
        <f t="shared" ref="S159:S201" si="17">P159*(1-SIN(R159/180*3.1415926))/2/COS(R159/180*3.1415926)</f>
        <v>#NUM!</v>
      </c>
    </row>
    <row r="160" spans="1:19">
      <c r="A160" s="1">
        <v>159</v>
      </c>
      <c r="B160" s="2">
        <v>76358356148</v>
      </c>
      <c r="C160" s="1">
        <v>0.36</v>
      </c>
      <c r="D160" s="1">
        <v>522156406012.059</v>
      </c>
      <c r="E160" s="1">
        <v>0.39</v>
      </c>
      <c r="F160" s="2">
        <v>41175848</v>
      </c>
      <c r="G160" s="1">
        <v>42</v>
      </c>
      <c r="H160" s="2">
        <v>5003850</v>
      </c>
      <c r="J160">
        <v>233.5</v>
      </c>
      <c r="K160">
        <v>38.3</v>
      </c>
      <c r="L160">
        <v>2.97</v>
      </c>
      <c r="M160">
        <v>284</v>
      </c>
      <c r="N160">
        <v>304.8</v>
      </c>
      <c r="O160">
        <v>324.7</v>
      </c>
      <c r="P160" s="10" cm="1">
        <f t="array" ref="P160">INTERCEPT(M160:O160,M$1:O$1)</f>
        <v>243.45</v>
      </c>
      <c r="Q160" s="10" cm="1">
        <f t="array" ref="Q160">SLOPE(M160:O160,M$1:O$1)</f>
        <v>4.07</v>
      </c>
      <c r="R160" s="11">
        <f t="shared" si="16"/>
        <v>37.2664637298483</v>
      </c>
      <c r="S160" s="11">
        <f t="shared" si="17"/>
        <v>60.3368424065848</v>
      </c>
    </row>
    <row r="161" spans="1:19">
      <c r="A161" s="5">
        <v>160</v>
      </c>
      <c r="B161" s="2">
        <v>70765227174</v>
      </c>
      <c r="C161" s="1">
        <v>0.23</v>
      </c>
      <c r="D161" s="1">
        <v>497657898418.781</v>
      </c>
      <c r="E161" s="1">
        <v>0.12</v>
      </c>
      <c r="F161" s="2">
        <v>8369277</v>
      </c>
      <c r="G161" s="1">
        <v>22</v>
      </c>
      <c r="H161" s="2">
        <v>28392563</v>
      </c>
      <c r="J161">
        <v>51.2</v>
      </c>
      <c r="K161">
        <v>31.2</v>
      </c>
      <c r="L161">
        <v>5.24</v>
      </c>
      <c r="M161">
        <v>39.3</v>
      </c>
      <c r="N161">
        <v>39.3</v>
      </c>
      <c r="O161">
        <v>39</v>
      </c>
      <c r="P161" s="10" cm="1">
        <f t="array" ref="P161">INTERCEPT(M161:O161,M$1:O$1)</f>
        <v>39.65</v>
      </c>
      <c r="Q161" s="10" cm="1">
        <f t="array" ref="Q161">SLOPE(M161:O161,M$1:O$1)</f>
        <v>-0.0299999999999997</v>
      </c>
      <c r="R161" s="11" t="e">
        <f t="shared" si="16"/>
        <v>#NUM!</v>
      </c>
      <c r="S161" s="11" t="e">
        <f t="shared" si="17"/>
        <v>#NUM!</v>
      </c>
    </row>
    <row r="162" spans="1:19">
      <c r="A162" s="5">
        <v>161</v>
      </c>
      <c r="B162" s="2">
        <v>57899601950</v>
      </c>
      <c r="C162" s="1">
        <v>0.18</v>
      </c>
      <c r="D162" s="1">
        <v>412166657949.153</v>
      </c>
      <c r="E162" s="1">
        <v>0.34</v>
      </c>
      <c r="F162" s="2">
        <v>11010746</v>
      </c>
      <c r="G162" s="1">
        <v>51</v>
      </c>
      <c r="H162" s="2">
        <v>15765749</v>
      </c>
      <c r="J162">
        <v>142.8</v>
      </c>
      <c r="K162">
        <v>25.7</v>
      </c>
      <c r="L162">
        <v>6.62</v>
      </c>
      <c r="M162">
        <v>216.2</v>
      </c>
      <c r="N162">
        <v>270</v>
      </c>
      <c r="O162">
        <v>298.5</v>
      </c>
      <c r="P162" s="10" cm="1">
        <f t="array" ref="P162">INTERCEPT(M162:O162,M$1:O$1)</f>
        <v>138.116666666667</v>
      </c>
      <c r="Q162" s="10" cm="1">
        <f t="array" ref="Q162">SLOPE(M162:O162,M$1:O$1)</f>
        <v>8.23</v>
      </c>
      <c r="R162" s="11">
        <f t="shared" si="16"/>
        <v>51.5651301705246</v>
      </c>
      <c r="S162" s="11">
        <f t="shared" si="17"/>
        <v>24.072221737716</v>
      </c>
    </row>
    <row r="163" spans="1:19">
      <c r="A163" s="1">
        <v>162</v>
      </c>
      <c r="B163" s="2">
        <v>35916220104</v>
      </c>
      <c r="C163" s="1">
        <v>0.19</v>
      </c>
      <c r="D163" s="1">
        <v>255035344435.966</v>
      </c>
      <c r="E163" s="1">
        <v>0.11</v>
      </c>
      <c r="F163" s="2">
        <v>47364124</v>
      </c>
      <c r="G163" s="1">
        <v>41</v>
      </c>
      <c r="H163" s="2">
        <v>20089097</v>
      </c>
      <c r="J163">
        <v>237.3</v>
      </c>
      <c r="K163">
        <v>13.8</v>
      </c>
      <c r="L163">
        <v>11.6</v>
      </c>
      <c r="M163">
        <v>248.6</v>
      </c>
      <c r="N163">
        <v>256</v>
      </c>
      <c r="O163">
        <v>265</v>
      </c>
      <c r="P163" s="10" cm="1">
        <f t="array" ref="P163">INTERCEPT(M163:O163,M$1:O$1)</f>
        <v>231.933333333333</v>
      </c>
      <c r="Q163" s="10" cm="1">
        <f t="array" ref="Q163">SLOPE(M163:O163,M$1:O$1)</f>
        <v>1.64</v>
      </c>
      <c r="R163" s="11">
        <f t="shared" si="16"/>
        <v>14.0296656406091</v>
      </c>
      <c r="S163" s="11">
        <f t="shared" si="17"/>
        <v>90.5547529350768</v>
      </c>
    </row>
    <row r="164" spans="1:19">
      <c r="A164" s="5">
        <v>163</v>
      </c>
      <c r="B164" s="2">
        <v>38258987977</v>
      </c>
      <c r="C164" s="1">
        <v>0.22</v>
      </c>
      <c r="D164" s="1">
        <v>269694505411.639</v>
      </c>
      <c r="E164" s="1">
        <v>0.6</v>
      </c>
      <c r="F164" s="2">
        <v>13443716</v>
      </c>
      <c r="G164" s="1">
        <v>36</v>
      </c>
      <c r="H164" s="2">
        <v>23365510</v>
      </c>
      <c r="J164">
        <v>96.4</v>
      </c>
      <c r="K164">
        <v>16.6</v>
      </c>
      <c r="L164">
        <v>8.58</v>
      </c>
      <c r="M164">
        <v>104.1</v>
      </c>
      <c r="N164">
        <v>113.7</v>
      </c>
      <c r="O164">
        <v>121.6</v>
      </c>
      <c r="P164" s="10" cm="1">
        <f t="array" ref="P164">INTERCEPT(M164:O164,M$1:O$1)</f>
        <v>86.8833333333333</v>
      </c>
      <c r="Q164" s="10" cm="1">
        <f t="array" ref="Q164">SLOPE(M164:O164,M$1:O$1)</f>
        <v>1.75</v>
      </c>
      <c r="R164" s="11">
        <f t="shared" si="16"/>
        <v>15.8266204018454</v>
      </c>
      <c r="S164" s="11">
        <f t="shared" si="17"/>
        <v>32.8388132966184</v>
      </c>
    </row>
    <row r="165" spans="1:19">
      <c r="A165" s="1">
        <v>164</v>
      </c>
      <c r="B165" s="2">
        <v>5277187456</v>
      </c>
      <c r="C165" s="1">
        <v>0.13</v>
      </c>
      <c r="D165" s="1">
        <v>38061130766.7257</v>
      </c>
      <c r="E165" s="1">
        <v>0.41</v>
      </c>
      <c r="F165" s="2">
        <v>17422607</v>
      </c>
      <c r="G165" s="1">
        <v>54</v>
      </c>
      <c r="H165" s="2">
        <v>2737977</v>
      </c>
      <c r="L165">
        <v>1.5</v>
      </c>
      <c r="M165">
        <v>-10</v>
      </c>
      <c r="N165">
        <v>-15</v>
      </c>
      <c r="O165">
        <v>-20</v>
      </c>
      <c r="P165" s="10"/>
      <c r="Q165" s="10"/>
      <c r="R165" s="11"/>
      <c r="S165" s="11"/>
    </row>
    <row r="166" spans="1:19">
      <c r="A166" s="5">
        <v>165</v>
      </c>
      <c r="B166" s="2">
        <v>55939297476</v>
      </c>
      <c r="C166" s="1">
        <v>0.4</v>
      </c>
      <c r="D166" s="1">
        <v>379588090015.714</v>
      </c>
      <c r="E166" s="1">
        <v>0.35</v>
      </c>
      <c r="F166" s="2">
        <v>31310889</v>
      </c>
      <c r="G166" s="1">
        <v>26</v>
      </c>
      <c r="H166" s="2">
        <v>2871514</v>
      </c>
      <c r="J166">
        <v>118.8</v>
      </c>
      <c r="K166">
        <v>29.2</v>
      </c>
      <c r="L166">
        <v>1.65</v>
      </c>
      <c r="M166">
        <v>126.7</v>
      </c>
      <c r="N166">
        <v>133.8</v>
      </c>
      <c r="O166">
        <v>135.8</v>
      </c>
      <c r="P166" s="10" cm="1">
        <f t="array" ref="P166">INTERCEPT(M166:O166,M$1:O$1)</f>
        <v>118.45</v>
      </c>
      <c r="Q166" s="10" cm="1">
        <f t="array" ref="Q166">SLOPE(M166:O166,M$1:O$1)</f>
        <v>0.910000000000002</v>
      </c>
      <c r="R166" s="11">
        <f t="shared" si="16"/>
        <v>-2.7008012511575</v>
      </c>
      <c r="S166" s="11">
        <f t="shared" si="17"/>
        <v>62.0846694548555</v>
      </c>
    </row>
    <row r="167" spans="1:19">
      <c r="A167" s="5">
        <v>166</v>
      </c>
      <c r="B167" s="2">
        <v>18514077716</v>
      </c>
      <c r="C167" s="1">
        <v>0.28</v>
      </c>
      <c r="D167" s="1">
        <v>128730696619.062</v>
      </c>
      <c r="E167" s="1">
        <v>0.25</v>
      </c>
      <c r="F167" s="2">
        <v>46416820</v>
      </c>
      <c r="G167" s="1">
        <v>48</v>
      </c>
      <c r="H167" s="2">
        <v>24434406</v>
      </c>
      <c r="J167">
        <v>254.6</v>
      </c>
      <c r="K167">
        <v>8.42</v>
      </c>
      <c r="M167">
        <v>-20</v>
      </c>
      <c r="N167">
        <v>-30</v>
      </c>
      <c r="O167">
        <v>-40</v>
      </c>
      <c r="P167" s="10"/>
      <c r="Q167" s="10"/>
      <c r="R167" s="11"/>
      <c r="S167" s="11"/>
    </row>
    <row r="168" spans="1:19">
      <c r="A168" s="1">
        <v>167</v>
      </c>
      <c r="B168" s="2">
        <v>66249080559</v>
      </c>
      <c r="C168" s="1">
        <v>0.25</v>
      </c>
      <c r="D168" s="1">
        <v>463743563913</v>
      </c>
      <c r="E168" s="1">
        <v>0.35</v>
      </c>
      <c r="F168" s="2">
        <v>29915674</v>
      </c>
      <c r="G168" s="1">
        <v>30</v>
      </c>
      <c r="H168" s="2">
        <v>6658664</v>
      </c>
      <c r="J168">
        <v>132.9</v>
      </c>
      <c r="K168">
        <v>31.44</v>
      </c>
      <c r="L168">
        <v>3.81</v>
      </c>
      <c r="M168">
        <v>146.2</v>
      </c>
      <c r="N168">
        <v>152.3</v>
      </c>
      <c r="O168">
        <v>158.3</v>
      </c>
      <c r="P168" s="10" cm="1">
        <f t="array" ref="P168">INTERCEPT(M168:O168,M$1:O$1)</f>
        <v>134.116666666667</v>
      </c>
      <c r="Q168" s="10" cm="1">
        <f t="array" ref="Q168">SLOPE(M168:O168,M$1:O$1)</f>
        <v>1.21</v>
      </c>
      <c r="R168" s="11">
        <f t="shared" si="16"/>
        <v>5.45262208082429</v>
      </c>
      <c r="S168" s="11">
        <f t="shared" si="17"/>
        <v>60.9621212121211</v>
      </c>
    </row>
    <row r="169" spans="1:19">
      <c r="A169" s="5">
        <v>168</v>
      </c>
      <c r="B169" s="2">
        <v>16970927846</v>
      </c>
      <c r="C169" s="1">
        <v>0.16</v>
      </c>
      <c r="D169" s="1">
        <v>121429914760.172</v>
      </c>
      <c r="E169" s="1">
        <v>0.21</v>
      </c>
      <c r="F169" s="2">
        <v>21843371</v>
      </c>
      <c r="G169" s="1">
        <v>46</v>
      </c>
      <c r="H169" s="2">
        <v>14328694</v>
      </c>
      <c r="M169">
        <v>-10</v>
      </c>
      <c r="N169">
        <v>-15</v>
      </c>
      <c r="O169">
        <v>-20</v>
      </c>
      <c r="P169" s="10"/>
      <c r="Q169" s="10"/>
      <c r="R169" s="11"/>
      <c r="S169" s="11"/>
    </row>
    <row r="170" spans="1:19">
      <c r="A170" s="1">
        <v>169</v>
      </c>
      <c r="B170" s="2">
        <v>75515515045</v>
      </c>
      <c r="C170" s="1">
        <v>0.3</v>
      </c>
      <c r="D170" s="1">
        <v>522799719542.308</v>
      </c>
      <c r="E170" s="1">
        <v>0.33</v>
      </c>
      <c r="F170" s="2">
        <v>48261087</v>
      </c>
      <c r="G170" s="1">
        <v>37</v>
      </c>
      <c r="H170" s="2">
        <v>21531321</v>
      </c>
      <c r="J170">
        <v>251</v>
      </c>
      <c r="K170">
        <v>35.2</v>
      </c>
      <c r="L170">
        <v>11.65</v>
      </c>
      <c r="M170">
        <v>276.3</v>
      </c>
      <c r="N170">
        <v>289.6</v>
      </c>
      <c r="O170">
        <v>302.5</v>
      </c>
      <c r="P170" s="10" cm="1">
        <f t="array" ref="P170">INTERCEPT(M170:O170,M$1:O$1)</f>
        <v>250.166666666667</v>
      </c>
      <c r="Q170" s="10" cm="1">
        <f t="array" ref="Q170">SLOPE(M170:O170,M$1:O$1)</f>
        <v>2.62</v>
      </c>
      <c r="R170" s="11">
        <f t="shared" si="16"/>
        <v>26.584284712239</v>
      </c>
      <c r="S170" s="11">
        <f t="shared" si="17"/>
        <v>77.2767414071699</v>
      </c>
    </row>
    <row r="171" spans="1:19">
      <c r="A171" s="5">
        <v>170</v>
      </c>
      <c r="B171" s="2">
        <v>38960870348</v>
      </c>
      <c r="C171" s="1">
        <v>0.1</v>
      </c>
      <c r="D171" s="1">
        <v>283351784349.091</v>
      </c>
      <c r="E171" s="1">
        <v>0.46</v>
      </c>
      <c r="F171" s="2">
        <v>31884213</v>
      </c>
      <c r="G171" s="1">
        <v>25</v>
      </c>
      <c r="H171" s="2">
        <v>3943255</v>
      </c>
      <c r="J171">
        <v>121.9</v>
      </c>
      <c r="K171">
        <v>17.8</v>
      </c>
      <c r="L171">
        <v>2.32</v>
      </c>
      <c r="M171">
        <v>121.9</v>
      </c>
      <c r="N171">
        <v>125.5</v>
      </c>
      <c r="O171">
        <v>126</v>
      </c>
      <c r="P171" s="10" cm="1">
        <f t="array" ref="P171">INTERCEPT(M171:O171,M$1:O$1)</f>
        <v>118.316666666667</v>
      </c>
      <c r="Q171" s="10" cm="1">
        <f t="array" ref="Q171">SLOPE(M171:O171,M$1:O$1)</f>
        <v>0.409999999999999</v>
      </c>
      <c r="R171" s="11">
        <f t="shared" si="16"/>
        <v>-24.7361198090939</v>
      </c>
      <c r="S171" s="11">
        <f t="shared" si="17"/>
        <v>92.3897946372679</v>
      </c>
    </row>
    <row r="172" spans="1:19">
      <c r="A172" s="5">
        <v>171</v>
      </c>
      <c r="B172" s="2">
        <v>33103083099</v>
      </c>
      <c r="C172" s="1">
        <v>0.24</v>
      </c>
      <c r="D172" s="1">
        <v>232255502388.145</v>
      </c>
      <c r="E172" s="1">
        <v>0.55</v>
      </c>
      <c r="F172" s="2">
        <v>27130221</v>
      </c>
      <c r="G172" s="1">
        <v>24</v>
      </c>
      <c r="H172" s="2">
        <v>19963995</v>
      </c>
      <c r="J172">
        <v>115.1</v>
      </c>
      <c r="K172">
        <v>15.2</v>
      </c>
      <c r="L172">
        <v>9.81</v>
      </c>
      <c r="M172">
        <v>108.9</v>
      </c>
      <c r="N172">
        <v>107.5</v>
      </c>
      <c r="O172">
        <v>105.5</v>
      </c>
      <c r="P172" s="10" cm="1">
        <f t="array" ref="P172">INTERCEPT(M172:O172,M$1:O$1)</f>
        <v>112.4</v>
      </c>
      <c r="Q172" s="10" cm="1">
        <f t="array" ref="Q172">SLOPE(M172:O172,M$1:O$1)</f>
        <v>-0.340000000000001</v>
      </c>
      <c r="R172" s="11" t="e">
        <f t="shared" si="16"/>
        <v>#NUM!</v>
      </c>
      <c r="S172" s="11" t="e">
        <f t="shared" si="17"/>
        <v>#NUM!</v>
      </c>
    </row>
    <row r="173" spans="1:19">
      <c r="A173" s="1">
        <v>172</v>
      </c>
      <c r="B173" s="2">
        <v>62497831191</v>
      </c>
      <c r="C173" s="1">
        <v>0.25</v>
      </c>
      <c r="D173" s="1">
        <v>437484818337</v>
      </c>
      <c r="E173" s="1">
        <v>0.4</v>
      </c>
      <c r="F173" s="2">
        <v>20430564</v>
      </c>
      <c r="G173" s="1">
        <v>25</v>
      </c>
      <c r="H173" s="2">
        <v>20591658</v>
      </c>
      <c r="J173">
        <v>94</v>
      </c>
      <c r="K173">
        <v>30.4</v>
      </c>
      <c r="L173">
        <v>8.8</v>
      </c>
      <c r="M173">
        <v>91.6</v>
      </c>
      <c r="N173">
        <v>93.3</v>
      </c>
      <c r="O173">
        <v>93.8</v>
      </c>
      <c r="P173" s="10" cm="1">
        <f t="array" ref="P173">INTERCEPT(M173:O173,M$1:O$1)</f>
        <v>89.6</v>
      </c>
      <c r="Q173" s="10" cm="1">
        <f t="array" ref="Q173">SLOPE(M173:O173,M$1:O$1)</f>
        <v>0.220000000000002</v>
      </c>
      <c r="R173" s="11">
        <f t="shared" si="16"/>
        <v>-39.7429408305242</v>
      </c>
      <c r="S173" s="11">
        <f t="shared" si="17"/>
        <v>95.5139209273131</v>
      </c>
    </row>
    <row r="174" spans="1:19">
      <c r="A174" s="5">
        <v>173</v>
      </c>
      <c r="B174" s="2">
        <v>6589406076</v>
      </c>
      <c r="C174" s="1">
        <v>0.13</v>
      </c>
      <c r="D174" s="1">
        <v>47525362406.5487</v>
      </c>
      <c r="E174" s="1">
        <v>0.37</v>
      </c>
      <c r="F174" s="2">
        <v>43308712</v>
      </c>
      <c r="G174" s="1">
        <v>48</v>
      </c>
      <c r="H174" s="2">
        <v>2775834</v>
      </c>
      <c r="M174">
        <v>-10</v>
      </c>
      <c r="N174">
        <v>-15</v>
      </c>
      <c r="O174">
        <v>-20</v>
      </c>
      <c r="P174" s="10"/>
      <c r="Q174" s="10"/>
      <c r="R174" s="11"/>
      <c r="S174" s="11"/>
    </row>
    <row r="175" spans="1:19">
      <c r="A175" s="1">
        <v>174</v>
      </c>
      <c r="B175" s="2">
        <v>28913836515</v>
      </c>
      <c r="C175" s="1">
        <v>0.4</v>
      </c>
      <c r="D175" s="1">
        <v>196201033494.643</v>
      </c>
      <c r="E175" s="1">
        <v>0.19</v>
      </c>
      <c r="F175" s="2">
        <v>8829198</v>
      </c>
      <c r="G175" s="1">
        <v>25</v>
      </c>
      <c r="H175" s="2">
        <v>21747049</v>
      </c>
      <c r="J175">
        <v>46.7</v>
      </c>
      <c r="K175">
        <v>14.66</v>
      </c>
      <c r="L175">
        <v>5.59</v>
      </c>
      <c r="M175">
        <v>44.5</v>
      </c>
      <c r="N175">
        <v>43.9</v>
      </c>
      <c r="O175">
        <v>41.4</v>
      </c>
      <c r="P175" s="10" cm="1">
        <f t="array" ref="P175">INTERCEPT(M175:O175,M$1:O$1)</f>
        <v>47.9166666666667</v>
      </c>
      <c r="Q175" s="10" cm="1">
        <f t="array" ref="Q175">SLOPE(M175:O175,M$1:O$1)</f>
        <v>-0.309999999999999</v>
      </c>
      <c r="R175" s="11" t="e">
        <f t="shared" si="16"/>
        <v>#NUM!</v>
      </c>
      <c r="S175" s="11" t="e">
        <f t="shared" si="17"/>
        <v>#NUM!</v>
      </c>
    </row>
    <row r="176" spans="1:19">
      <c r="A176" s="5">
        <v>175</v>
      </c>
      <c r="B176" s="2">
        <v>24746590276</v>
      </c>
      <c r="C176" s="1">
        <v>0.36</v>
      </c>
      <c r="D176" s="1">
        <v>169223007034.412</v>
      </c>
      <c r="E176" s="1">
        <v>0.43</v>
      </c>
      <c r="F176" s="2">
        <v>38833974</v>
      </c>
      <c r="G176" s="1">
        <v>30</v>
      </c>
      <c r="H176" s="2">
        <v>22957519</v>
      </c>
      <c r="J176">
        <v>170</v>
      </c>
      <c r="K176">
        <v>12.1</v>
      </c>
      <c r="L176">
        <v>12.21</v>
      </c>
      <c r="M176">
        <v>172.8</v>
      </c>
      <c r="N176">
        <v>174.5</v>
      </c>
      <c r="O176">
        <v>176.3</v>
      </c>
      <c r="P176" s="10" cm="1">
        <f t="array" ref="P176">INTERCEPT(M176:O176,M$1:O$1)</f>
        <v>169.283333333333</v>
      </c>
      <c r="Q176" s="10" cm="1">
        <f t="array" ref="Q176">SLOPE(M176:O176,M$1:O$1)</f>
        <v>0.35</v>
      </c>
      <c r="R176" s="11">
        <f t="shared" si="16"/>
        <v>-28.7822051715529</v>
      </c>
      <c r="S176" s="11">
        <f t="shared" si="17"/>
        <v>143.070529421292</v>
      </c>
    </row>
    <row r="177" spans="1:19">
      <c r="A177" s="5">
        <v>176</v>
      </c>
      <c r="B177" s="2">
        <v>14291850811</v>
      </c>
      <c r="C177" s="1">
        <v>0.16</v>
      </c>
      <c r="D177" s="1">
        <v>102260656664.914</v>
      </c>
      <c r="E177" s="1">
        <v>0.55</v>
      </c>
      <c r="F177" s="2">
        <v>12577085</v>
      </c>
      <c r="G177" s="1">
        <v>33</v>
      </c>
      <c r="H177" s="2">
        <v>4763907</v>
      </c>
      <c r="J177">
        <v>61.7</v>
      </c>
      <c r="K177">
        <v>6.88</v>
      </c>
      <c r="L177">
        <v>2.71</v>
      </c>
      <c r="M177">
        <v>71.2</v>
      </c>
      <c r="N177">
        <v>74.5</v>
      </c>
      <c r="O177">
        <v>79.1</v>
      </c>
      <c r="P177" s="10" cm="1">
        <f t="array" ref="P177">INTERCEPT(M177:O177,M$1:O$1)</f>
        <v>63.0833333333333</v>
      </c>
      <c r="Q177" s="10" cm="1">
        <f t="array" ref="Q177">SLOPE(M177:O177,M$1:O$1)</f>
        <v>0.789999999999999</v>
      </c>
      <c r="R177" s="11">
        <f t="shared" si="16"/>
        <v>-6.73736713095424</v>
      </c>
      <c r="S177" s="11">
        <f t="shared" si="17"/>
        <v>35.4871475417084</v>
      </c>
    </row>
    <row r="178" spans="1:19">
      <c r="A178" s="1">
        <v>177</v>
      </c>
      <c r="B178" s="2">
        <v>73729468295</v>
      </c>
      <c r="C178" s="1">
        <v>0.24</v>
      </c>
      <c r="D178" s="1">
        <v>517295463037.5</v>
      </c>
      <c r="E178" s="1">
        <v>0.53</v>
      </c>
      <c r="F178" s="2">
        <v>32983916</v>
      </c>
      <c r="G178" s="1">
        <v>14</v>
      </c>
      <c r="H178" s="2">
        <v>14798633</v>
      </c>
      <c r="J178">
        <v>110.8</v>
      </c>
      <c r="K178">
        <v>40.7</v>
      </c>
      <c r="L178">
        <v>4.8</v>
      </c>
      <c r="M178">
        <v>89.5</v>
      </c>
      <c r="N178">
        <v>87.7</v>
      </c>
      <c r="O178">
        <v>88.2</v>
      </c>
      <c r="P178" s="10" cm="1">
        <f t="array" ref="P178">INTERCEPT(M178:O178,M$1:O$1)</f>
        <v>90.4166666666667</v>
      </c>
      <c r="Q178" s="10" cm="1">
        <f t="array" ref="Q178">SLOPE(M178:O178,M$1:O$1)</f>
        <v>-0.130000000000001</v>
      </c>
      <c r="R178" s="11" t="e">
        <f t="shared" si="16"/>
        <v>#NUM!</v>
      </c>
      <c r="S178" s="11" t="e">
        <f t="shared" si="17"/>
        <v>#NUM!</v>
      </c>
    </row>
    <row r="179" spans="1:19">
      <c r="A179" s="5">
        <v>178</v>
      </c>
      <c r="B179" s="2">
        <v>31980216776</v>
      </c>
      <c r="C179" s="1">
        <v>0.14</v>
      </c>
      <c r="D179" s="1">
        <v>230033138213.333</v>
      </c>
      <c r="E179" s="1">
        <v>0.39</v>
      </c>
      <c r="F179" s="2">
        <v>27397118</v>
      </c>
      <c r="G179" s="1">
        <v>13</v>
      </c>
      <c r="H179" s="2">
        <v>6527173</v>
      </c>
      <c r="J179">
        <v>85.3</v>
      </c>
      <c r="K179">
        <v>15</v>
      </c>
      <c r="L179">
        <v>3.14</v>
      </c>
      <c r="M179">
        <v>68.7</v>
      </c>
      <c r="N179">
        <v>69</v>
      </c>
      <c r="O179">
        <v>62.8</v>
      </c>
      <c r="P179" s="10" cm="1">
        <f t="array" ref="P179">INTERCEPT(M179:O179,M$1:O$1)</f>
        <v>75.6833333333333</v>
      </c>
      <c r="Q179" s="10" cm="1">
        <f t="array" ref="Q179">SLOPE(M179:O179,M$1:O$1)</f>
        <v>-0.590000000000001</v>
      </c>
      <c r="R179" s="11" t="e">
        <f t="shared" si="16"/>
        <v>#NUM!</v>
      </c>
      <c r="S179" s="11" t="e">
        <f t="shared" si="17"/>
        <v>#NUM!</v>
      </c>
    </row>
    <row r="180" spans="1:19">
      <c r="A180" s="1">
        <v>179</v>
      </c>
      <c r="B180" s="2">
        <v>30082403126</v>
      </c>
      <c r="C180" s="1">
        <v>0.29</v>
      </c>
      <c r="D180" s="1">
        <v>208711246494.341</v>
      </c>
      <c r="E180" s="1">
        <v>0.38</v>
      </c>
      <c r="F180" s="2">
        <v>29917213</v>
      </c>
      <c r="G180" s="1">
        <v>50</v>
      </c>
      <c r="H180" s="2">
        <v>11526560</v>
      </c>
      <c r="J180">
        <v>213.2</v>
      </c>
      <c r="K180">
        <v>14.2</v>
      </c>
      <c r="L180">
        <v>6.48</v>
      </c>
      <c r="M180">
        <v>259.8</v>
      </c>
      <c r="N180">
        <v>282</v>
      </c>
      <c r="O180">
        <v>301.6</v>
      </c>
      <c r="P180" s="10" cm="1">
        <f t="array" ref="P180">INTERCEPT(M180:O180,M$1:O$1)</f>
        <v>218.433333333333</v>
      </c>
      <c r="Q180" s="10" cm="1">
        <f t="array" ref="Q180">SLOPE(M180:O180,M$1:O$1)</f>
        <v>4.18</v>
      </c>
      <c r="R180" s="11">
        <f t="shared" si="16"/>
        <v>37.8720083664569</v>
      </c>
      <c r="S180" s="11">
        <f t="shared" si="17"/>
        <v>53.4196178275955</v>
      </c>
    </row>
    <row r="181" spans="1:19">
      <c r="A181" s="5">
        <v>180</v>
      </c>
      <c r="B181" s="2">
        <v>50870253192</v>
      </c>
      <c r="C181" s="1">
        <v>0.26</v>
      </c>
      <c r="D181" s="1">
        <v>355284308007.619</v>
      </c>
      <c r="E181" s="1">
        <v>0.44</v>
      </c>
      <c r="F181" s="2">
        <v>19310370</v>
      </c>
      <c r="G181" s="1">
        <v>49</v>
      </c>
      <c r="H181" s="2">
        <v>1902535</v>
      </c>
      <c r="J181">
        <v>149.7</v>
      </c>
      <c r="K181">
        <v>24.56</v>
      </c>
      <c r="L181">
        <v>1.17</v>
      </c>
      <c r="M181">
        <v>231</v>
      </c>
      <c r="N181">
        <v>258.5</v>
      </c>
      <c r="O181">
        <v>286.7</v>
      </c>
      <c r="P181" s="10" cm="1">
        <f t="array" ref="P181">INTERCEPT(M181:O181,M$1:O$1)</f>
        <v>175.183333333333</v>
      </c>
      <c r="Q181" s="10" cm="1">
        <f t="array" ref="Q181">SLOPE(M181:O181,M$1:O$1)</f>
        <v>5.57</v>
      </c>
      <c r="R181" s="11">
        <f t="shared" si="16"/>
        <v>44.0739327554514</v>
      </c>
      <c r="S181" s="11">
        <f t="shared" si="17"/>
        <v>37.1137802913213</v>
      </c>
    </row>
    <row r="182" spans="1:19">
      <c r="A182" s="5">
        <v>181</v>
      </c>
      <c r="B182" s="2">
        <v>56213199696</v>
      </c>
      <c r="C182" s="1">
        <v>0.17</v>
      </c>
      <c r="D182" s="1">
        <v>401179673044.103</v>
      </c>
      <c r="E182" s="1">
        <v>0.59</v>
      </c>
      <c r="F182" s="2">
        <v>15049983</v>
      </c>
      <c r="G182" s="1">
        <v>52</v>
      </c>
      <c r="H182" s="2">
        <v>22463097</v>
      </c>
      <c r="J182">
        <v>201</v>
      </c>
      <c r="K182">
        <v>28.1</v>
      </c>
      <c r="L182">
        <v>9.45</v>
      </c>
      <c r="M182">
        <v>258.8</v>
      </c>
      <c r="N182">
        <v>301</v>
      </c>
      <c r="O182">
        <v>368</v>
      </c>
      <c r="P182" s="10" cm="1">
        <f t="array" ref="P182">INTERCEPT(M182:O182,M$1:O$1)</f>
        <v>145.466666666667</v>
      </c>
      <c r="Q182" s="10" cm="1">
        <f t="array" ref="Q182">SLOPE(M182:O182,M$1:O$1)</f>
        <v>10.92</v>
      </c>
      <c r="R182" s="11">
        <f t="shared" si="16"/>
        <v>56.3269256358161</v>
      </c>
      <c r="S182" s="11">
        <f t="shared" si="17"/>
        <v>22.0101079380554</v>
      </c>
    </row>
    <row r="183" spans="1:19">
      <c r="A183" s="1">
        <v>182</v>
      </c>
      <c r="B183" s="2">
        <v>25315316994</v>
      </c>
      <c r="C183" s="1">
        <v>0.12</v>
      </c>
      <c r="D183" s="1">
        <v>183083988974.464</v>
      </c>
      <c r="E183" s="1">
        <v>0.25</v>
      </c>
      <c r="F183" s="2">
        <v>9020186</v>
      </c>
      <c r="G183" s="1">
        <v>60</v>
      </c>
      <c r="H183" s="2">
        <v>22055476</v>
      </c>
      <c r="M183">
        <v>-10</v>
      </c>
      <c r="N183">
        <v>-15</v>
      </c>
      <c r="O183">
        <v>-20</v>
      </c>
      <c r="P183" s="10"/>
      <c r="Q183" s="10"/>
      <c r="R183" s="11"/>
      <c r="S183" s="11"/>
    </row>
    <row r="184" spans="1:19">
      <c r="A184" s="5">
        <v>183</v>
      </c>
      <c r="B184" s="2">
        <v>25561634377</v>
      </c>
      <c r="C184" s="1">
        <v>0.32</v>
      </c>
      <c r="D184" s="1">
        <v>176220358205.076</v>
      </c>
      <c r="E184" s="1">
        <v>0.2</v>
      </c>
      <c r="F184" s="2">
        <v>41482308</v>
      </c>
      <c r="G184" s="1">
        <v>43</v>
      </c>
      <c r="H184" s="2">
        <v>11303076</v>
      </c>
      <c r="J184">
        <v>224</v>
      </c>
      <c r="K184">
        <v>11.56</v>
      </c>
      <c r="L184">
        <v>6.89</v>
      </c>
      <c r="M184">
        <v>239.7</v>
      </c>
      <c r="N184">
        <v>250</v>
      </c>
      <c r="O184">
        <v>260</v>
      </c>
      <c r="P184" s="10" cm="1">
        <f t="array" ref="P184">INTERCEPT(M184:O184,M$1:O$1)</f>
        <v>219.45</v>
      </c>
      <c r="Q184" s="10" cm="1">
        <f t="array" ref="Q184">SLOPE(M184:O184,M$1:O$1)</f>
        <v>2.03</v>
      </c>
      <c r="R184" s="11">
        <f t="shared" si="16"/>
        <v>19.8728529826903</v>
      </c>
      <c r="S184" s="11">
        <f t="shared" si="17"/>
        <v>77.0118525360511</v>
      </c>
    </row>
    <row r="185" spans="1:19">
      <c r="A185" s="1">
        <v>184</v>
      </c>
      <c r="B185" s="2">
        <v>45148941352</v>
      </c>
      <c r="C185" s="1">
        <v>0.17</v>
      </c>
      <c r="D185" s="1">
        <v>322216803665.983</v>
      </c>
      <c r="E185" s="1">
        <v>0.57</v>
      </c>
      <c r="F185" s="2">
        <v>33924925</v>
      </c>
      <c r="G185" s="1">
        <v>38</v>
      </c>
      <c r="H185" s="2">
        <v>11143099</v>
      </c>
      <c r="J185">
        <v>186.8</v>
      </c>
      <c r="K185">
        <v>23</v>
      </c>
      <c r="L185">
        <v>6.77</v>
      </c>
      <c r="M185">
        <v>205.5</v>
      </c>
      <c r="N185">
        <v>218.5</v>
      </c>
      <c r="O185">
        <v>227</v>
      </c>
      <c r="P185" s="10" cm="1">
        <f t="array" ref="P185">INTERCEPT(M185:O185,M$1:O$1)</f>
        <v>184.75</v>
      </c>
      <c r="Q185" s="10" cm="1">
        <f t="array" ref="Q185">SLOPE(M185:O185,M$1:O$1)</f>
        <v>2.15</v>
      </c>
      <c r="R185" s="11">
        <f t="shared" si="16"/>
        <v>21.4124674121414</v>
      </c>
      <c r="S185" s="11">
        <f t="shared" si="17"/>
        <v>62.999227108585</v>
      </c>
    </row>
    <row r="186" spans="1:19">
      <c r="A186" s="5">
        <v>185</v>
      </c>
      <c r="B186" s="2">
        <v>32708939485</v>
      </c>
      <c r="C186" s="1">
        <v>0.12</v>
      </c>
      <c r="D186" s="1">
        <v>236555723061.161</v>
      </c>
      <c r="E186" s="1">
        <v>0.52</v>
      </c>
      <c r="F186" s="2">
        <v>22932860</v>
      </c>
      <c r="G186" s="1">
        <v>23</v>
      </c>
      <c r="H186" s="2">
        <v>14346462</v>
      </c>
      <c r="J186">
        <v>98.6</v>
      </c>
      <c r="K186">
        <v>17.2</v>
      </c>
      <c r="L186">
        <v>6.92</v>
      </c>
      <c r="M186">
        <v>88</v>
      </c>
      <c r="N186">
        <v>88</v>
      </c>
      <c r="O186">
        <v>86.3</v>
      </c>
      <c r="P186" s="10" cm="1">
        <f t="array" ref="P186">INTERCEPT(M186:O186,M$1:O$1)</f>
        <v>89.9833333333333</v>
      </c>
      <c r="Q186" s="10" cm="1">
        <f t="array" ref="Q186">SLOPE(M186:O186,M$1:O$1)</f>
        <v>-0.17</v>
      </c>
      <c r="R186" s="11" t="e">
        <f t="shared" si="16"/>
        <v>#NUM!</v>
      </c>
      <c r="S186" s="11" t="e">
        <f t="shared" si="17"/>
        <v>#NUM!</v>
      </c>
    </row>
    <row r="187" spans="1:19">
      <c r="A187" s="5">
        <v>186</v>
      </c>
      <c r="B187" s="2">
        <v>11899893473</v>
      </c>
      <c r="C187" s="1">
        <v>0.24</v>
      </c>
      <c r="D187" s="1">
        <v>83491188076.6936</v>
      </c>
      <c r="E187" s="1">
        <v>0.13</v>
      </c>
      <c r="F187" s="2">
        <v>27637104</v>
      </c>
      <c r="G187" s="1">
        <v>48</v>
      </c>
      <c r="H187" s="2">
        <v>23007727</v>
      </c>
      <c r="M187">
        <v>-10</v>
      </c>
      <c r="N187">
        <v>-15</v>
      </c>
      <c r="O187">
        <v>-20</v>
      </c>
      <c r="P187" s="10"/>
      <c r="Q187" s="10"/>
      <c r="R187" s="11"/>
      <c r="S187" s="11"/>
    </row>
    <row r="188" spans="1:19">
      <c r="A188" s="1">
        <v>187</v>
      </c>
      <c r="B188" s="2">
        <v>15664254179</v>
      </c>
      <c r="C188" s="1">
        <v>0.3</v>
      </c>
      <c r="D188" s="1">
        <v>108444836623.846</v>
      </c>
      <c r="E188" s="1">
        <v>0.24</v>
      </c>
      <c r="F188" s="2">
        <v>4204560</v>
      </c>
      <c r="G188" s="1">
        <v>15</v>
      </c>
      <c r="H188" s="2">
        <v>4008991</v>
      </c>
      <c r="J188">
        <v>19.68</v>
      </c>
      <c r="K188">
        <v>8.4</v>
      </c>
      <c r="L188">
        <v>1.33</v>
      </c>
      <c r="M188">
        <v>8.2</v>
      </c>
      <c r="N188">
        <v>3.6</v>
      </c>
      <c r="O188">
        <v>0.200000000000003</v>
      </c>
      <c r="P188" s="10" cm="1">
        <f t="array" ref="P188">INTERCEPT(M188:O188,M$1:O$1)</f>
        <v>16</v>
      </c>
      <c r="Q188" s="10" cm="1">
        <f t="array" ref="Q188">SLOPE(M188:O188,M$1:O$1)</f>
        <v>-0.8</v>
      </c>
      <c r="R188" s="11" t="e">
        <f t="shared" si="16"/>
        <v>#NUM!</v>
      </c>
      <c r="S188" s="11" t="e">
        <f t="shared" si="17"/>
        <v>#NUM!</v>
      </c>
    </row>
    <row r="189" spans="1:19">
      <c r="A189" s="5">
        <v>188</v>
      </c>
      <c r="B189" s="2">
        <v>9806094146</v>
      </c>
      <c r="C189" s="1">
        <v>0.15</v>
      </c>
      <c r="D189" s="1">
        <v>70348066699.5652</v>
      </c>
      <c r="E189" s="1">
        <v>0.45</v>
      </c>
      <c r="F189" s="2">
        <v>31101097</v>
      </c>
      <c r="G189" s="1">
        <v>32</v>
      </c>
      <c r="H189" s="2">
        <v>6209597</v>
      </c>
      <c r="M189">
        <v>-10</v>
      </c>
      <c r="N189">
        <v>-15</v>
      </c>
      <c r="O189">
        <v>-20</v>
      </c>
      <c r="P189" s="10"/>
      <c r="Q189" s="10"/>
      <c r="R189" s="11"/>
      <c r="S189" s="11"/>
    </row>
    <row r="190" spans="1:19">
      <c r="A190" s="1">
        <v>189</v>
      </c>
      <c r="B190" s="2">
        <v>9784529352</v>
      </c>
      <c r="C190" s="1">
        <v>0.4</v>
      </c>
      <c r="D190" s="1">
        <v>66395020602.8571</v>
      </c>
      <c r="E190" s="1">
        <v>0.46</v>
      </c>
      <c r="F190" s="2">
        <v>38517242</v>
      </c>
      <c r="G190" s="1">
        <v>60</v>
      </c>
      <c r="H190" s="2">
        <v>18000049</v>
      </c>
      <c r="M190">
        <v>-10</v>
      </c>
      <c r="N190">
        <v>-15</v>
      </c>
      <c r="O190">
        <v>-20</v>
      </c>
      <c r="P190" s="10"/>
      <c r="Q190" s="10"/>
      <c r="R190" s="11"/>
      <c r="S190" s="11"/>
    </row>
    <row r="191" spans="1:19">
      <c r="A191" s="5">
        <v>190</v>
      </c>
      <c r="B191" s="2">
        <v>61182520325</v>
      </c>
      <c r="C191" s="1">
        <v>0.17</v>
      </c>
      <c r="D191" s="1">
        <v>436644482661.325</v>
      </c>
      <c r="E191" s="1">
        <v>0.42</v>
      </c>
      <c r="F191" s="2">
        <v>29816519</v>
      </c>
      <c r="G191" s="1">
        <v>24</v>
      </c>
      <c r="H191" s="2">
        <v>1546993</v>
      </c>
      <c r="J191">
        <v>117</v>
      </c>
      <c r="K191">
        <v>30.4</v>
      </c>
      <c r="L191">
        <v>0.9</v>
      </c>
      <c r="M191">
        <v>113</v>
      </c>
      <c r="N191">
        <v>116</v>
      </c>
      <c r="O191">
        <v>120</v>
      </c>
      <c r="P191" s="10" cm="1">
        <f t="array" ref="P191">INTERCEPT(M191:O191,M$1:O$1)</f>
        <v>105.833333333333</v>
      </c>
      <c r="Q191" s="10" cm="1">
        <f t="array" ref="Q191">SLOPE(M191:O191,M$1:O$1)</f>
        <v>0.7</v>
      </c>
      <c r="R191" s="11">
        <f t="shared" si="16"/>
        <v>-10.1642487951069</v>
      </c>
      <c r="S191" s="11">
        <f t="shared" si="17"/>
        <v>63.2475139106117</v>
      </c>
    </row>
    <row r="192" spans="1:19">
      <c r="A192" s="5">
        <v>191</v>
      </c>
      <c r="B192" s="2">
        <v>61679756059</v>
      </c>
      <c r="C192" s="1">
        <v>0.1</v>
      </c>
      <c r="D192" s="1">
        <v>448580044065.455</v>
      </c>
      <c r="E192" s="1">
        <v>0.55</v>
      </c>
      <c r="F192" s="2">
        <v>42138756</v>
      </c>
      <c r="G192" s="1">
        <v>53</v>
      </c>
      <c r="H192" s="2">
        <v>8781987</v>
      </c>
      <c r="J192">
        <v>348</v>
      </c>
      <c r="K192">
        <v>28.79</v>
      </c>
      <c r="L192">
        <v>5.46</v>
      </c>
      <c r="M192">
        <v>457</v>
      </c>
      <c r="N192">
        <v>503</v>
      </c>
      <c r="O192">
        <v>561.2</v>
      </c>
      <c r="P192" s="10" cm="1">
        <f t="array" ref="P192">INTERCEPT(M192:O192,M$1:O$1)</f>
        <v>350.766666666667</v>
      </c>
      <c r="Q192" s="10" cm="1">
        <f t="array" ref="Q192">SLOPE(M192:O192,M$1:O$1)</f>
        <v>10.42</v>
      </c>
      <c r="R192" s="11">
        <f t="shared" si="16"/>
        <v>55.575177814651</v>
      </c>
      <c r="S192" s="11">
        <f t="shared" si="17"/>
        <v>54.3318459361741</v>
      </c>
    </row>
    <row r="193" spans="1:19">
      <c r="A193" s="1">
        <v>192</v>
      </c>
      <c r="B193" s="2">
        <v>32990936943</v>
      </c>
      <c r="C193" s="1">
        <v>0.18</v>
      </c>
      <c r="D193" s="1">
        <v>234850737560.339</v>
      </c>
      <c r="E193" s="1">
        <v>0.37</v>
      </c>
      <c r="F193" s="2">
        <v>47639645</v>
      </c>
      <c r="G193" s="1">
        <v>36</v>
      </c>
      <c r="H193" s="2">
        <v>1279221</v>
      </c>
      <c r="J193">
        <v>191</v>
      </c>
      <c r="K193">
        <v>14.9</v>
      </c>
      <c r="L193">
        <v>0.72</v>
      </c>
      <c r="M193">
        <v>237</v>
      </c>
      <c r="N193">
        <v>244</v>
      </c>
      <c r="O193">
        <v>253</v>
      </c>
      <c r="P193" s="10" cm="1">
        <f t="array" ref="P193">INTERCEPT(M193:O193,M$1:O$1)</f>
        <v>220.666666666667</v>
      </c>
      <c r="Q193" s="10" cm="1">
        <f t="array" ref="Q193">SLOPE(M193:O193,M$1:O$1)</f>
        <v>1.6</v>
      </c>
      <c r="R193" s="11">
        <f t="shared" si="16"/>
        <v>13.3423640246844</v>
      </c>
      <c r="S193" s="11">
        <f t="shared" si="17"/>
        <v>87.2261587929778</v>
      </c>
    </row>
    <row r="194" spans="1:19">
      <c r="A194" s="5">
        <v>193</v>
      </c>
      <c r="B194" s="2">
        <v>57115603002</v>
      </c>
      <c r="C194" s="1">
        <v>0.32</v>
      </c>
      <c r="D194" s="1">
        <v>393751505544.091</v>
      </c>
      <c r="E194" s="1">
        <v>0.51</v>
      </c>
      <c r="F194" s="2">
        <v>14073480</v>
      </c>
      <c r="G194" s="1">
        <v>58</v>
      </c>
      <c r="H194" s="2">
        <v>22244264</v>
      </c>
      <c r="J194">
        <v>241.4</v>
      </c>
      <c r="K194">
        <v>28.3</v>
      </c>
      <c r="L194">
        <v>9.07</v>
      </c>
      <c r="M194">
        <v>398.6</v>
      </c>
      <c r="N194">
        <v>486.8</v>
      </c>
      <c r="O194">
        <v>585.4</v>
      </c>
      <c r="P194" s="10" cm="1">
        <f t="array" ref="P194">INTERCEPT(M194:O194,M$1:O$1)</f>
        <v>210.066666666667</v>
      </c>
      <c r="Q194" s="10" cm="1">
        <f t="array" ref="Q194">SLOPE(M194:O194,M$1:O$1)</f>
        <v>18.68</v>
      </c>
      <c r="R194" s="11">
        <f t="shared" si="16"/>
        <v>63.9451520906353</v>
      </c>
      <c r="S194" s="11">
        <f t="shared" si="17"/>
        <v>24.3018151161506</v>
      </c>
    </row>
    <row r="195" spans="1:19">
      <c r="A195" s="1">
        <v>194</v>
      </c>
      <c r="B195" s="2">
        <v>71614184775</v>
      </c>
      <c r="C195" s="1">
        <v>0.16</v>
      </c>
      <c r="D195" s="1">
        <v>512411839338.362</v>
      </c>
      <c r="E195" s="1">
        <v>0.59</v>
      </c>
      <c r="F195" s="2">
        <v>37347145</v>
      </c>
      <c r="G195" s="1">
        <v>29</v>
      </c>
      <c r="H195" s="2">
        <v>25246254</v>
      </c>
      <c r="J195">
        <v>79.3</v>
      </c>
      <c r="K195">
        <v>35.7</v>
      </c>
      <c r="L195">
        <v>12.35</v>
      </c>
      <c r="M195">
        <v>175.2</v>
      </c>
      <c r="N195">
        <v>184.2</v>
      </c>
      <c r="O195">
        <v>186.9</v>
      </c>
      <c r="P195" s="10" cm="1">
        <f t="array" ref="P195">INTERCEPT(M195:O195,M$1:O$1)</f>
        <v>164.55</v>
      </c>
      <c r="Q195" s="10" cm="1">
        <f t="array" ref="Q195">SLOPE(M195:O195,M$1:O$1)</f>
        <v>1.17</v>
      </c>
      <c r="R195" s="11">
        <f t="shared" si="16"/>
        <v>4.49321359302365</v>
      </c>
      <c r="S195" s="11">
        <f t="shared" si="17"/>
        <v>76.0632644073845</v>
      </c>
    </row>
    <row r="196" spans="1:19">
      <c r="A196" s="5">
        <v>195</v>
      </c>
      <c r="B196" s="2">
        <v>31619104420</v>
      </c>
      <c r="C196" s="1">
        <v>0.1</v>
      </c>
      <c r="D196" s="1">
        <v>229957123054.545</v>
      </c>
      <c r="E196" s="1">
        <v>0.6</v>
      </c>
      <c r="F196" s="2">
        <v>4850625</v>
      </c>
      <c r="G196" s="1">
        <v>42</v>
      </c>
      <c r="H196" s="2">
        <v>8463162</v>
      </c>
      <c r="J196">
        <v>52.8</v>
      </c>
      <c r="K196">
        <v>17.1</v>
      </c>
      <c r="L196">
        <v>3.09</v>
      </c>
      <c r="M196">
        <v>82.5</v>
      </c>
      <c r="N196">
        <v>99</v>
      </c>
      <c r="O196">
        <v>118</v>
      </c>
      <c r="P196" s="10" cm="1">
        <f t="array" ref="P196">INTERCEPT(M196:O196,M$1:O$1)</f>
        <v>46.5833333333333</v>
      </c>
      <c r="Q196" s="10" cm="1">
        <f t="array" ref="Q196">SLOPE(M196:O196,M$1:O$1)</f>
        <v>3.55</v>
      </c>
      <c r="R196" s="11">
        <f t="shared" si="16"/>
        <v>34.0862023088868</v>
      </c>
      <c r="S196" s="11">
        <f t="shared" si="17"/>
        <v>12.361933119615</v>
      </c>
    </row>
    <row r="197" spans="1:19">
      <c r="A197" s="5">
        <v>196</v>
      </c>
      <c r="B197" s="2">
        <v>64873498336</v>
      </c>
      <c r="C197" s="1">
        <v>0.1</v>
      </c>
      <c r="D197" s="1">
        <v>471807260625.455</v>
      </c>
      <c r="E197" s="1">
        <v>0.32</v>
      </c>
      <c r="F197" s="2">
        <v>18315363</v>
      </c>
      <c r="G197" s="1">
        <v>53</v>
      </c>
      <c r="H197" s="2">
        <v>25065530</v>
      </c>
      <c r="J197">
        <v>212</v>
      </c>
      <c r="K197">
        <v>28.3</v>
      </c>
      <c r="L197">
        <v>10.65</v>
      </c>
      <c r="M197">
        <v>302</v>
      </c>
      <c r="N197">
        <v>347.5</v>
      </c>
      <c r="O197">
        <v>380.8</v>
      </c>
      <c r="P197" s="10" cm="1">
        <f t="array" ref="P197">INTERCEPT(M197:O197,M$1:O$1)</f>
        <v>225.233333333333</v>
      </c>
      <c r="Q197" s="10" cm="1">
        <f t="array" ref="Q197">SLOPE(M197:O197,M$1:O$1)</f>
        <v>7.88</v>
      </c>
      <c r="R197" s="11">
        <f t="shared" si="16"/>
        <v>50.7846182064518</v>
      </c>
      <c r="S197" s="11">
        <f t="shared" si="17"/>
        <v>40.1180263973588</v>
      </c>
    </row>
    <row r="198" spans="1:19">
      <c r="A198" s="1">
        <v>197</v>
      </c>
      <c r="B198" s="2">
        <v>73818183975</v>
      </c>
      <c r="C198" s="1">
        <v>0.4</v>
      </c>
      <c r="D198" s="1">
        <v>500909105544.643</v>
      </c>
      <c r="E198" s="1">
        <v>0.19</v>
      </c>
      <c r="F198" s="2">
        <v>14723075</v>
      </c>
      <c r="G198" s="1">
        <v>27</v>
      </c>
      <c r="H198" s="2">
        <v>25770503</v>
      </c>
      <c r="J198">
        <v>75.7</v>
      </c>
      <c r="K198">
        <v>37.1</v>
      </c>
      <c r="L198">
        <v>8.86</v>
      </c>
      <c r="M198">
        <v>82.75</v>
      </c>
      <c r="N198">
        <v>86.7</v>
      </c>
      <c r="O198">
        <v>89.7</v>
      </c>
      <c r="P198" s="10" cm="1">
        <f t="array" ref="P198">INTERCEPT(M198:O198,M$1:O$1)</f>
        <v>75.9583333333333</v>
      </c>
      <c r="Q198" s="10" cm="1">
        <f t="array" ref="Q198">SLOPE(M198:O198,M$1:O$1)</f>
        <v>0.694999999999999</v>
      </c>
      <c r="R198" s="11">
        <f t="shared" si="16"/>
        <v>-10.3663235909584</v>
      </c>
      <c r="S198" s="11">
        <f t="shared" si="17"/>
        <v>45.5567809307131</v>
      </c>
    </row>
    <row r="199" spans="1:19">
      <c r="A199" s="5">
        <v>198</v>
      </c>
      <c r="B199" s="2">
        <v>54097356575</v>
      </c>
      <c r="C199" s="1">
        <v>0.3</v>
      </c>
      <c r="D199" s="1">
        <v>374520160903.846</v>
      </c>
      <c r="E199" s="1">
        <v>0.46</v>
      </c>
      <c r="F199" s="2">
        <v>49147663</v>
      </c>
      <c r="G199" s="1">
        <v>42</v>
      </c>
      <c r="H199" s="2">
        <v>22006225</v>
      </c>
      <c r="J199">
        <v>286</v>
      </c>
      <c r="K199">
        <v>26.3</v>
      </c>
      <c r="L199">
        <v>13.13</v>
      </c>
      <c r="M199">
        <v>319</v>
      </c>
      <c r="N199">
        <v>339</v>
      </c>
      <c r="O199">
        <v>353</v>
      </c>
      <c r="P199" s="10" cm="1">
        <f t="array" ref="P199">INTERCEPT(M199:O199,M$1:O$1)</f>
        <v>286</v>
      </c>
      <c r="Q199" s="10" cm="1">
        <f t="array" ref="Q199">SLOPE(M199:O199,M$1:O$1)</f>
        <v>3.4</v>
      </c>
      <c r="R199" s="11">
        <f t="shared" si="16"/>
        <v>33.055731714724</v>
      </c>
      <c r="S199" s="11">
        <f t="shared" si="17"/>
        <v>77.5526386701696</v>
      </c>
    </row>
    <row r="200" spans="1:19">
      <c r="A200" s="5">
        <v>199</v>
      </c>
      <c r="B200" s="2">
        <v>19686985607</v>
      </c>
      <c r="C200" s="1">
        <v>0.28</v>
      </c>
      <c r="D200" s="1">
        <v>136886071798.672</v>
      </c>
      <c r="E200" s="1">
        <v>0.55</v>
      </c>
      <c r="F200" s="2">
        <v>2403646</v>
      </c>
      <c r="G200" s="1">
        <v>56</v>
      </c>
      <c r="H200" s="2">
        <v>19956938</v>
      </c>
      <c r="M200">
        <v>-10</v>
      </c>
      <c r="N200">
        <v>-15</v>
      </c>
      <c r="O200">
        <v>-20</v>
      </c>
      <c r="P200" s="10"/>
      <c r="Q200" s="10"/>
      <c r="R200" s="11"/>
      <c r="S200" s="11"/>
    </row>
    <row r="201" spans="1:19">
      <c r="A201" s="5">
        <v>200</v>
      </c>
      <c r="B201" s="2">
        <v>30275459755</v>
      </c>
      <c r="C201" s="1">
        <v>0.23</v>
      </c>
      <c r="D201" s="1">
        <v>212912786081.911</v>
      </c>
      <c r="E201" s="1">
        <v>0.37</v>
      </c>
      <c r="F201" s="2">
        <v>36748457</v>
      </c>
      <c r="G201" s="1">
        <v>26</v>
      </c>
      <c r="H201" s="2">
        <v>27769288</v>
      </c>
      <c r="J201">
        <v>153.7</v>
      </c>
      <c r="K201">
        <v>14.1</v>
      </c>
      <c r="L201">
        <v>13.35</v>
      </c>
      <c r="M201">
        <v>147</v>
      </c>
      <c r="N201">
        <v>146.9</v>
      </c>
      <c r="O201">
        <v>145.8</v>
      </c>
      <c r="P201" s="10" cm="1">
        <f t="array" ref="P201">INTERCEPT(M201:O201,M$1:O$1)</f>
        <v>148.366666666667</v>
      </c>
      <c r="Q201" s="10" cm="1">
        <f t="array" ref="Q201">SLOPE(M201:O201,M$1:O$1)</f>
        <v>-0.119999999999999</v>
      </c>
      <c r="R201" s="11" t="e">
        <f t="shared" si="16"/>
        <v>#NUM!</v>
      </c>
      <c r="S201" s="11" t="e">
        <f t="shared" si="17"/>
        <v>#NUM!</v>
      </c>
    </row>
    <row r="202" spans="1:19">
      <c r="A202" s="5">
        <v>201</v>
      </c>
      <c r="B202" s="3">
        <v>32125622437</v>
      </c>
      <c r="C202" s="7">
        <v>0.25</v>
      </c>
      <c r="D202" s="6">
        <v>224879357059</v>
      </c>
      <c r="E202" s="7">
        <v>0.25</v>
      </c>
      <c r="F202" s="6">
        <v>22243189</v>
      </c>
      <c r="G202" s="8">
        <v>41</v>
      </c>
      <c r="H202" s="6">
        <v>27874020</v>
      </c>
      <c r="J202">
        <v>135.27</v>
      </c>
      <c r="K202">
        <v>14.1</v>
      </c>
      <c r="L202">
        <v>11.38</v>
      </c>
      <c r="M202">
        <v>180.87</v>
      </c>
      <c r="N202">
        <v>201.75</v>
      </c>
      <c r="O202">
        <v>221.13</v>
      </c>
      <c r="P202" s="10" cm="1">
        <f t="array" ref="P202">INTERCEPT(M202:O202,M$1:O$1)</f>
        <v>140.86</v>
      </c>
      <c r="Q202" s="10" cm="1">
        <f t="array" ref="Q202">SLOPE(M202:O202,M$1:O$1)</f>
        <v>4.026</v>
      </c>
      <c r="R202" s="11">
        <f t="shared" ref="R202:R207" si="18">ASIN((Q202-1)/(Q202+1))/3.1415926*180</f>
        <v>37.0182408638473</v>
      </c>
      <c r="S202" s="11">
        <f t="shared" ref="S202:S207" si="19">P202*(1-SIN(R202/180*3.1415926))/2/COS(R202/180*3.1415926)</f>
        <v>35.1011061825825</v>
      </c>
    </row>
    <row r="203" spans="1:19">
      <c r="A203" s="5">
        <v>202</v>
      </c>
      <c r="B203" s="3">
        <v>6220923539</v>
      </c>
      <c r="C203" s="7">
        <v>0.25</v>
      </c>
      <c r="D203" s="6">
        <v>43546464773</v>
      </c>
      <c r="E203" s="7">
        <v>0.25</v>
      </c>
      <c r="F203" s="6">
        <v>23313128</v>
      </c>
      <c r="G203" s="8">
        <v>17</v>
      </c>
      <c r="H203" s="6">
        <v>19513631</v>
      </c>
      <c r="P203" s="10"/>
      <c r="Q203" s="10"/>
      <c r="R203" s="11"/>
      <c r="S203" s="11"/>
    </row>
    <row r="204" spans="1:19">
      <c r="A204" s="5">
        <v>203</v>
      </c>
      <c r="B204" s="3">
        <v>21389005131</v>
      </c>
      <c r="C204" s="7">
        <v>0.25</v>
      </c>
      <c r="D204" s="6">
        <v>149723035917</v>
      </c>
      <c r="E204" s="7">
        <v>0.25</v>
      </c>
      <c r="F204" s="6">
        <v>14898645</v>
      </c>
      <c r="G204" s="8">
        <v>57</v>
      </c>
      <c r="H204" s="6">
        <v>21428990</v>
      </c>
      <c r="P204" s="10"/>
      <c r="Q204" s="10"/>
      <c r="R204" s="11"/>
      <c r="S204" s="11"/>
    </row>
    <row r="205" spans="1:19">
      <c r="A205" s="5">
        <v>204</v>
      </c>
      <c r="B205" s="3">
        <v>19170249861</v>
      </c>
      <c r="C205" s="7">
        <v>0.25</v>
      </c>
      <c r="D205" s="6">
        <v>134191749027</v>
      </c>
      <c r="E205" s="7">
        <v>0.25</v>
      </c>
      <c r="F205" s="6">
        <v>3563781</v>
      </c>
      <c r="G205" s="8">
        <v>47</v>
      </c>
      <c r="H205" s="6">
        <v>19865870</v>
      </c>
      <c r="J205">
        <v>48.55</v>
      </c>
      <c r="K205">
        <v>7.92</v>
      </c>
      <c r="L205">
        <v>4.2</v>
      </c>
      <c r="M205">
        <v>109.66</v>
      </c>
      <c r="N205">
        <v>139.68</v>
      </c>
      <c r="O205">
        <v>163.1</v>
      </c>
      <c r="P205" s="10" cm="1">
        <f t="array" ref="P205">INTERCEPT(M205:O205,M$1:O$1)</f>
        <v>57.32</v>
      </c>
      <c r="Q205" s="10" cm="1">
        <f t="array" ref="Q205">SLOPE(M205:O205,M$1:O$1)</f>
        <v>5.344</v>
      </c>
      <c r="R205" s="11">
        <f t="shared" si="18"/>
        <v>43.2152807752002</v>
      </c>
      <c r="S205" s="11">
        <f t="shared" si="19"/>
        <v>12.3977524764397</v>
      </c>
    </row>
    <row r="206" spans="1:19">
      <c r="A206" s="5">
        <v>205</v>
      </c>
      <c r="B206" s="3">
        <v>39084760006</v>
      </c>
      <c r="C206" s="7">
        <v>0.25</v>
      </c>
      <c r="D206" s="6">
        <v>273593320042</v>
      </c>
      <c r="E206" s="7">
        <v>0.25</v>
      </c>
      <c r="F206" s="6">
        <v>12753145</v>
      </c>
      <c r="G206" s="8">
        <v>21</v>
      </c>
      <c r="H206" s="6">
        <v>6553518</v>
      </c>
      <c r="J206">
        <v>44.45</v>
      </c>
      <c r="K206">
        <v>18.4</v>
      </c>
      <c r="L206">
        <v>2.37</v>
      </c>
      <c r="M206">
        <v>66.92</v>
      </c>
      <c r="N206">
        <v>76.15</v>
      </c>
      <c r="O206">
        <v>85.14</v>
      </c>
      <c r="P206" s="10" cm="1">
        <f t="array" ref="P206">INTERCEPT(M206:O206,M$1:O$1)</f>
        <v>48.74</v>
      </c>
      <c r="Q206" s="10" cm="1">
        <f t="array" ref="Q206">SLOPE(M206:O206,M$1:O$1)</f>
        <v>1.822</v>
      </c>
      <c r="R206" s="11">
        <f t="shared" si="18"/>
        <v>16.9347699819265</v>
      </c>
      <c r="S206" s="11">
        <f t="shared" si="19"/>
        <v>18.0543286100239</v>
      </c>
    </row>
    <row r="207" spans="1:19">
      <c r="A207" s="5">
        <v>206</v>
      </c>
      <c r="B207" s="3">
        <v>67748784928</v>
      </c>
      <c r="C207" s="7">
        <v>0.25</v>
      </c>
      <c r="D207" s="6">
        <v>474241494496</v>
      </c>
      <c r="E207" s="7">
        <v>0.25</v>
      </c>
      <c r="F207" s="6">
        <v>15192232</v>
      </c>
      <c r="G207" s="8">
        <v>51</v>
      </c>
      <c r="H207" s="6">
        <v>7432952</v>
      </c>
      <c r="J207">
        <v>135.34</v>
      </c>
      <c r="K207">
        <v>30.37</v>
      </c>
      <c r="L207">
        <v>3.94</v>
      </c>
      <c r="M207">
        <v>263.26</v>
      </c>
      <c r="N207">
        <v>314</v>
      </c>
      <c r="O207">
        <v>383.1</v>
      </c>
      <c r="P207" s="10" cm="1">
        <f t="array" ref="P207">INTERCEPT(M207:O207,M$1:O$1)</f>
        <v>140.36</v>
      </c>
      <c r="Q207" s="10" cm="1">
        <f t="array" ref="Q207">SLOPE(M207:O207,M$1:O$1)</f>
        <v>11.984</v>
      </c>
      <c r="R207" s="11">
        <f t="shared" si="18"/>
        <v>57.7753973891388</v>
      </c>
      <c r="S207" s="11">
        <f t="shared" si="19"/>
        <v>20.2727406143329</v>
      </c>
    </row>
    <row r="208" spans="1:19">
      <c r="A208" s="5">
        <v>207</v>
      </c>
      <c r="B208" s="3">
        <v>29464248400</v>
      </c>
      <c r="C208" s="7">
        <v>0.25</v>
      </c>
      <c r="D208" s="6">
        <v>206249738800</v>
      </c>
      <c r="E208" s="7">
        <v>0.25</v>
      </c>
      <c r="F208" s="6">
        <v>45252936</v>
      </c>
      <c r="G208" s="8">
        <v>45</v>
      </c>
      <c r="H208" s="6">
        <v>12281886</v>
      </c>
      <c r="P208" s="10"/>
      <c r="Q208" s="10"/>
      <c r="R208" s="11"/>
      <c r="S208" s="11"/>
    </row>
    <row r="209" spans="1:19">
      <c r="A209" s="5">
        <v>208</v>
      </c>
      <c r="B209" s="3">
        <v>76135028670</v>
      </c>
      <c r="C209" s="7">
        <v>0.25</v>
      </c>
      <c r="D209" s="6">
        <v>532945200690</v>
      </c>
      <c r="E209" s="7">
        <v>0.25</v>
      </c>
      <c r="F209" s="6">
        <v>36348104</v>
      </c>
      <c r="G209" s="8">
        <v>37</v>
      </c>
      <c r="H209" s="6">
        <v>21895899</v>
      </c>
      <c r="J209">
        <v>189.45</v>
      </c>
      <c r="K209">
        <v>34.13</v>
      </c>
      <c r="L209">
        <v>11.52</v>
      </c>
      <c r="M209">
        <v>242.4</v>
      </c>
      <c r="N209">
        <v>267.01</v>
      </c>
      <c r="O209">
        <v>288.65</v>
      </c>
      <c r="P209" s="10" cm="1">
        <f t="array" ref="P209">INTERCEPT(M209:O209,M$1:O$1)</f>
        <v>196.645</v>
      </c>
      <c r="Q209" s="10" cm="1">
        <f t="array" ref="Q209">SLOPE(M209:O209,M$1:O$1)</f>
        <v>4.625</v>
      </c>
      <c r="R209" s="11">
        <f>ASIN((Q209-1)/(Q209+1))/3.1415926*180</f>
        <v>40.1240352779586</v>
      </c>
      <c r="S209" s="11">
        <f>P209*(1-SIN(R209/180*3.1415926))/2/COS(R209/180*3.1415926)</f>
        <v>45.7190338415567</v>
      </c>
    </row>
    <row r="210" spans="1:19">
      <c r="A210" s="5">
        <v>209</v>
      </c>
      <c r="B210" s="3">
        <v>79360663813</v>
      </c>
      <c r="C210" s="7">
        <v>0.25</v>
      </c>
      <c r="D210" s="6">
        <v>555524646691</v>
      </c>
      <c r="E210" s="7">
        <v>0.25</v>
      </c>
      <c r="F210" s="6">
        <v>24203442</v>
      </c>
      <c r="G210" s="8">
        <v>12</v>
      </c>
      <c r="H210" s="6">
        <v>11259185</v>
      </c>
      <c r="J210">
        <v>68.12</v>
      </c>
      <c r="K210">
        <v>37.2</v>
      </c>
      <c r="L210">
        <v>3.73</v>
      </c>
      <c r="M210">
        <v>81</v>
      </c>
      <c r="N210">
        <v>90.2</v>
      </c>
      <c r="O210">
        <v>95.35</v>
      </c>
      <c r="P210" s="10" cm="1">
        <f t="array" ref="P210">INTERCEPT(M210:O210,M$1:O$1)</f>
        <v>67.325</v>
      </c>
      <c r="Q210" s="10" cm="1">
        <f t="array" ref="Q210">SLOPE(M210:O210,M$1:O$1)</f>
        <v>1.435</v>
      </c>
      <c r="R210" s="11">
        <f>ASIN((Q210-1)/(Q210+1))/3.1415926*180</f>
        <v>10.2908312574671</v>
      </c>
      <c r="S210" s="11">
        <f>P210*(1-SIN(R210/180*3.1415926))/2/COS(R210/180*3.1415926)</f>
        <v>28.1009120619029</v>
      </c>
    </row>
    <row r="211" spans="1:19">
      <c r="A211" s="5">
        <v>210</v>
      </c>
      <c r="B211" s="3">
        <v>20760607202</v>
      </c>
      <c r="C211" s="7">
        <v>0.25</v>
      </c>
      <c r="D211" s="6">
        <v>145324250414</v>
      </c>
      <c r="E211" s="7">
        <v>0.25</v>
      </c>
      <c r="F211" s="6">
        <v>28334540</v>
      </c>
      <c r="G211" s="8">
        <v>59</v>
      </c>
      <c r="H211" s="6">
        <v>5347177</v>
      </c>
      <c r="P211" s="10"/>
      <c r="Q211" s="10"/>
      <c r="R211" s="11"/>
      <c r="S211" s="11"/>
    </row>
    <row r="212" spans="1:19">
      <c r="A212" s="5">
        <v>211</v>
      </c>
      <c r="B212" s="3">
        <v>40159691223</v>
      </c>
      <c r="C212" s="7">
        <v>0.25</v>
      </c>
      <c r="D212" s="6">
        <v>281117838561</v>
      </c>
      <c r="E212" s="7">
        <v>0.25</v>
      </c>
      <c r="F212" s="6">
        <v>14794003</v>
      </c>
      <c r="G212" s="8">
        <v>52</v>
      </c>
      <c r="H212" s="3">
        <v>9057973</v>
      </c>
      <c r="J212">
        <v>128.15</v>
      </c>
      <c r="K212">
        <v>18.32</v>
      </c>
      <c r="L212">
        <v>4.66</v>
      </c>
      <c r="M212">
        <v>245.55</v>
      </c>
      <c r="N212">
        <v>280.33</v>
      </c>
      <c r="O212">
        <v>332.7</v>
      </c>
      <c r="P212" s="10" cm="1">
        <f t="array" ref="P212">INTERCEPT(M212:O212,M$1:O$1)</f>
        <v>155.468333333333</v>
      </c>
      <c r="Q212" s="10" cm="1">
        <f t="array" ref="Q212">SLOPE(M212:O212,M$1:O$1)</f>
        <v>8.715</v>
      </c>
      <c r="R212" s="11">
        <f t="shared" ref="R211:R221" si="20">ASIN((Q212-1)/(Q212+1))/3.1415926*180</f>
        <v>52.5734224161556</v>
      </c>
      <c r="S212" s="11">
        <f t="shared" ref="S211:S221" si="21">P212*(1-SIN(R212/180*3.1415926))/2/COS(R212/180*3.1415926)</f>
        <v>26.3316607688936</v>
      </c>
    </row>
    <row r="213" spans="1:19">
      <c r="A213" s="5">
        <v>212</v>
      </c>
      <c r="B213" s="3">
        <v>12256423909</v>
      </c>
      <c r="C213" s="7">
        <v>0.25</v>
      </c>
      <c r="D213" s="6">
        <v>85794967363</v>
      </c>
      <c r="E213" s="7">
        <v>0.25</v>
      </c>
      <c r="F213" s="6">
        <v>14833660</v>
      </c>
      <c r="G213" s="8">
        <v>26</v>
      </c>
      <c r="H213" s="3">
        <v>3499669</v>
      </c>
      <c r="J213">
        <v>53.52</v>
      </c>
      <c r="K213">
        <v>5.65</v>
      </c>
      <c r="L213">
        <v>2.07</v>
      </c>
      <c r="M213">
        <v>78.95</v>
      </c>
      <c r="N213">
        <v>88.89</v>
      </c>
      <c r="O213">
        <v>98.22</v>
      </c>
      <c r="P213" s="10" cm="1">
        <f t="array" ref="P213">INTERCEPT(M213:O213,M$1:O$1)</f>
        <v>59.7816666666667</v>
      </c>
      <c r="Q213" s="10" cm="1">
        <f t="array" ref="Q213">SLOPE(M213:O213,M$1:O$1)</f>
        <v>1.927</v>
      </c>
      <c r="R213" s="11">
        <f t="shared" si="20"/>
        <v>18.4638662737509</v>
      </c>
      <c r="S213" s="11">
        <f t="shared" si="21"/>
        <v>21.5326343527621</v>
      </c>
    </row>
    <row r="214" spans="1:19">
      <c r="A214" s="5">
        <v>213</v>
      </c>
      <c r="B214" s="3">
        <v>64328125969</v>
      </c>
      <c r="C214" s="7">
        <v>0.25</v>
      </c>
      <c r="D214" s="6">
        <v>450296881783</v>
      </c>
      <c r="E214" s="7">
        <v>0.25</v>
      </c>
      <c r="F214" s="6">
        <v>13149384</v>
      </c>
      <c r="G214" s="8">
        <v>30</v>
      </c>
      <c r="H214" s="3">
        <v>13237429</v>
      </c>
      <c r="J214">
        <v>61.54</v>
      </c>
      <c r="K214">
        <v>30.4</v>
      </c>
      <c r="L214">
        <v>6.07</v>
      </c>
      <c r="M214">
        <v>100.15</v>
      </c>
      <c r="N214">
        <v>115.71</v>
      </c>
      <c r="O214">
        <v>130.32</v>
      </c>
      <c r="P214" s="10" cm="1">
        <f t="array" ref="P214">INTERCEPT(M214:O214,M$1:O$1)</f>
        <v>70.1383333333334</v>
      </c>
      <c r="Q214" s="10" cm="1">
        <f t="array" ref="Q214">SLOPE(M214:O214,M$1:O$1)</f>
        <v>3.017</v>
      </c>
      <c r="R214" s="11">
        <f t="shared" si="20"/>
        <v>30.1400934303786</v>
      </c>
      <c r="S214" s="11">
        <f t="shared" si="21"/>
        <v>20.1900684332477</v>
      </c>
    </row>
    <row r="215" spans="1:19">
      <c r="A215" s="5">
        <v>214</v>
      </c>
      <c r="B215" s="3">
        <v>69947971561</v>
      </c>
      <c r="C215" s="7">
        <v>0.25</v>
      </c>
      <c r="D215" s="6">
        <v>489635800927</v>
      </c>
      <c r="E215" s="7">
        <v>0.25</v>
      </c>
      <c r="F215" s="6">
        <v>36979839</v>
      </c>
      <c r="G215" s="8">
        <v>36</v>
      </c>
      <c r="H215" s="3">
        <v>5037630</v>
      </c>
      <c r="J215">
        <v>167.62</v>
      </c>
      <c r="K215">
        <v>31.87</v>
      </c>
      <c r="L215">
        <v>2.98</v>
      </c>
      <c r="M215">
        <v>230.83</v>
      </c>
      <c r="N215">
        <v>252.17</v>
      </c>
      <c r="O215">
        <v>272.78</v>
      </c>
      <c r="P215" s="10" cm="1">
        <f t="array" ref="P215">INTERCEPT(M215:O215,M$1:O$1)</f>
        <v>189.001666666667</v>
      </c>
      <c r="Q215" s="10" cm="1">
        <f t="array" ref="Q215">SLOPE(M215:O215,M$1:O$1)</f>
        <v>4.195</v>
      </c>
      <c r="R215" s="11">
        <f t="shared" si="20"/>
        <v>37.9529699591866</v>
      </c>
      <c r="S215" s="11">
        <f t="shared" si="21"/>
        <v>46.1391570344118</v>
      </c>
    </row>
    <row r="216" spans="1:19">
      <c r="A216" s="5">
        <v>215</v>
      </c>
      <c r="B216" s="3">
        <v>62162470892</v>
      </c>
      <c r="C216" s="7">
        <v>0.25</v>
      </c>
      <c r="D216" s="6">
        <v>435137296244</v>
      </c>
      <c r="E216" s="7">
        <v>0.25</v>
      </c>
      <c r="F216" s="6">
        <v>39609960</v>
      </c>
      <c r="G216" s="8">
        <v>59</v>
      </c>
      <c r="H216" s="3">
        <v>3770719</v>
      </c>
      <c r="P216" s="10"/>
      <c r="Q216" s="10"/>
      <c r="R216" s="11"/>
      <c r="S216" s="11"/>
    </row>
    <row r="217" spans="1:19">
      <c r="A217" s="5">
        <v>216</v>
      </c>
      <c r="B217" s="3">
        <v>49247606003</v>
      </c>
      <c r="C217" s="7">
        <v>0.25</v>
      </c>
      <c r="D217" s="6">
        <v>344733242021</v>
      </c>
      <c r="E217" s="7">
        <v>0.25</v>
      </c>
      <c r="F217" s="6">
        <v>19364516</v>
      </c>
      <c r="G217" s="8">
        <v>40</v>
      </c>
      <c r="H217" s="3">
        <v>11781623</v>
      </c>
      <c r="J217">
        <v>110.07</v>
      </c>
      <c r="K217">
        <v>22.2</v>
      </c>
      <c r="L217">
        <v>6.07</v>
      </c>
      <c r="M217">
        <v>172.65</v>
      </c>
      <c r="N217">
        <v>202.34</v>
      </c>
      <c r="O217">
        <v>226.44</v>
      </c>
      <c r="P217" s="10" cm="1">
        <f t="array" ref="P217">INTERCEPT(M217:O217,M$1:O$1)</f>
        <v>119.791666666667</v>
      </c>
      <c r="Q217" s="10" cm="1">
        <f t="array" ref="Q217">SLOPE(M217:O217,M$1:O$1)</f>
        <v>5.379</v>
      </c>
      <c r="R217" s="11">
        <f t="shared" si="20"/>
        <v>43.351422209362</v>
      </c>
      <c r="S217" s="11">
        <f t="shared" si="21"/>
        <v>25.8253276095653</v>
      </c>
    </row>
    <row r="218" spans="1:19">
      <c r="A218" s="5">
        <v>217</v>
      </c>
      <c r="B218" s="3">
        <v>51423883042</v>
      </c>
      <c r="C218" s="7">
        <v>0.25</v>
      </c>
      <c r="D218" s="6">
        <v>359967181294</v>
      </c>
      <c r="E218" s="7">
        <v>0.25</v>
      </c>
      <c r="F218" s="6">
        <v>7471565</v>
      </c>
      <c r="G218" s="8">
        <v>14</v>
      </c>
      <c r="H218" s="3">
        <v>15284026</v>
      </c>
      <c r="J218">
        <v>25.6</v>
      </c>
      <c r="K218">
        <v>25</v>
      </c>
      <c r="L218">
        <v>3.6</v>
      </c>
      <c r="M218">
        <v>41.06</v>
      </c>
      <c r="N218">
        <v>46.06</v>
      </c>
      <c r="O218">
        <v>53.21</v>
      </c>
      <c r="P218" s="10" cm="1">
        <f t="array" ref="P218">INTERCEPT(M218:O218,M$1:O$1)</f>
        <v>28.5516666666667</v>
      </c>
      <c r="Q218" s="10" cm="1">
        <f t="array" ref="Q218">SLOPE(M218:O218,M$1:O$1)</f>
        <v>1.215</v>
      </c>
      <c r="R218" s="11">
        <f t="shared" si="20"/>
        <v>5.57021172478323</v>
      </c>
      <c r="S218" s="11">
        <f t="shared" si="21"/>
        <v>12.9512990072897</v>
      </c>
    </row>
    <row r="219" spans="1:19">
      <c r="A219" s="5">
        <v>218</v>
      </c>
      <c r="B219" s="3">
        <v>41741952743</v>
      </c>
      <c r="C219" s="7">
        <v>0.25</v>
      </c>
      <c r="D219" s="6">
        <v>292193669201</v>
      </c>
      <c r="E219" s="7">
        <v>0.25</v>
      </c>
      <c r="F219" s="6">
        <v>22911664</v>
      </c>
      <c r="G219" s="8">
        <v>27</v>
      </c>
      <c r="H219" s="3">
        <v>18541880</v>
      </c>
      <c r="J219">
        <v>93.25</v>
      </c>
      <c r="K219">
        <v>19</v>
      </c>
      <c r="L219">
        <v>8.33</v>
      </c>
      <c r="M219">
        <v>127.45</v>
      </c>
      <c r="N219">
        <v>138.14</v>
      </c>
      <c r="O219">
        <v>147.37</v>
      </c>
      <c r="P219" s="10" cm="1">
        <f t="array" ref="P219">INTERCEPT(M219:O219,M$1:O$1)</f>
        <v>107.773333333333</v>
      </c>
      <c r="Q219" s="10" cm="1">
        <f t="array" ref="Q219">SLOPE(M219:O219,M$1:O$1)</f>
        <v>1.992</v>
      </c>
      <c r="R219" s="11">
        <f t="shared" si="20"/>
        <v>19.3629302521718</v>
      </c>
      <c r="S219" s="11">
        <f t="shared" si="21"/>
        <v>38.1800640568841</v>
      </c>
    </row>
    <row r="220" spans="1:19">
      <c r="A220" s="5">
        <v>219</v>
      </c>
      <c r="B220" s="3">
        <v>41294062963</v>
      </c>
      <c r="C220" s="7">
        <v>0.25</v>
      </c>
      <c r="D220" s="6">
        <v>289058440741</v>
      </c>
      <c r="E220" s="7">
        <v>0.25</v>
      </c>
      <c r="F220" s="6">
        <v>33198964</v>
      </c>
      <c r="G220" s="8">
        <v>55</v>
      </c>
      <c r="H220" s="3">
        <v>21784398</v>
      </c>
      <c r="P220" s="10"/>
      <c r="Q220" s="10"/>
      <c r="R220" s="11"/>
      <c r="S220" s="11"/>
    </row>
    <row r="221" spans="1:19">
      <c r="A221" s="5">
        <v>220</v>
      </c>
      <c r="B221" s="3">
        <v>33560952092</v>
      </c>
      <c r="C221" s="7">
        <v>0.25</v>
      </c>
      <c r="D221" s="6">
        <v>234926664644</v>
      </c>
      <c r="E221" s="7">
        <v>0.25</v>
      </c>
      <c r="F221" s="6">
        <v>7677994</v>
      </c>
      <c r="G221" s="8">
        <v>11</v>
      </c>
      <c r="H221" s="3">
        <v>7026419</v>
      </c>
      <c r="J221">
        <v>22.01</v>
      </c>
      <c r="K221">
        <v>16.85</v>
      </c>
      <c r="L221">
        <v>1.45</v>
      </c>
      <c r="M221">
        <v>28.76</v>
      </c>
      <c r="N221">
        <v>41.47</v>
      </c>
      <c r="O221">
        <v>47.03</v>
      </c>
      <c r="P221" s="10" cm="1">
        <f t="array" ref="P221">INTERCEPT(M221:O221,M$1:O$1)</f>
        <v>11.6816666666667</v>
      </c>
      <c r="Q221" s="10" cm="1">
        <f t="array" ref="Q221">SLOPE(M221:O221,M$1:O$1)</f>
        <v>1.827</v>
      </c>
      <c r="R221" s="11">
        <f t="shared" si="20"/>
        <v>17.0098595202868</v>
      </c>
      <c r="S221" s="11">
        <f t="shared" si="21"/>
        <v>4.32121166969985</v>
      </c>
    </row>
    <row r="222" spans="1:19">
      <c r="A222" s="5">
        <v>221</v>
      </c>
      <c r="B222" s="3">
        <v>39228549468</v>
      </c>
      <c r="C222" s="7">
        <v>0.25</v>
      </c>
      <c r="D222" s="6">
        <v>274599846276</v>
      </c>
      <c r="E222" s="7">
        <v>0.25</v>
      </c>
      <c r="F222" s="6">
        <v>16286698</v>
      </c>
      <c r="G222" s="8">
        <v>26</v>
      </c>
      <c r="H222" s="3">
        <v>14549371</v>
      </c>
      <c r="J222">
        <v>65.7</v>
      </c>
      <c r="K222">
        <v>19.73</v>
      </c>
      <c r="L222">
        <v>6.34</v>
      </c>
      <c r="M222">
        <v>96.1</v>
      </c>
      <c r="N222">
        <v>106.29</v>
      </c>
      <c r="O222">
        <v>116.06</v>
      </c>
      <c r="P222" s="10" cm="1">
        <f t="array" ref="P222">INTERCEPT(M222:O222,M$1:O$1)</f>
        <v>76.21</v>
      </c>
      <c r="Q222" s="10" cm="1">
        <f t="array" ref="Q222">SLOPE(M222:O222,M$1:O$1)</f>
        <v>1.996</v>
      </c>
      <c r="R222" s="11">
        <f t="shared" ref="R222:R231" si="22">ASIN((Q222-1)/(Q222+1))/3.1415926*180</f>
        <v>19.4171388814537</v>
      </c>
      <c r="S222" s="11">
        <f t="shared" ref="S222:S231" si="23">P222*(1-SIN(R222/180*3.1415926))/2/COS(R222/180*3.1415926)</f>
        <v>26.9712886849452</v>
      </c>
    </row>
    <row r="223" spans="1:19">
      <c r="A223" s="5">
        <v>222</v>
      </c>
      <c r="B223" s="3">
        <v>24426971710</v>
      </c>
      <c r="C223" s="7">
        <v>0.25</v>
      </c>
      <c r="D223" s="6">
        <v>170988801970</v>
      </c>
      <c r="E223" s="7">
        <v>0.25</v>
      </c>
      <c r="F223" s="6">
        <v>11053245</v>
      </c>
      <c r="G223" s="8">
        <v>31</v>
      </c>
      <c r="H223" s="3">
        <v>17694223</v>
      </c>
      <c r="J223">
        <v>56.13</v>
      </c>
      <c r="K223">
        <v>11.73</v>
      </c>
      <c r="L223">
        <v>6.46</v>
      </c>
      <c r="M223">
        <v>86.01</v>
      </c>
      <c r="N223">
        <v>97.89</v>
      </c>
      <c r="O223">
        <v>110.35</v>
      </c>
      <c r="P223" s="10" cm="1">
        <f t="array" ref="P223">INTERCEPT(M223:O223,M$1:O$1)</f>
        <v>61.5733333333334</v>
      </c>
      <c r="Q223" s="10" cm="1">
        <f t="array" ref="Q223">SLOPE(M223:O223,M$1:O$1)</f>
        <v>2.434</v>
      </c>
      <c r="R223" s="11">
        <f t="shared" si="22"/>
        <v>24.6824532180971</v>
      </c>
      <c r="S223" s="11">
        <f t="shared" si="23"/>
        <v>19.7334210543847</v>
      </c>
    </row>
    <row r="224" spans="1:19">
      <c r="A224" s="5">
        <v>223</v>
      </c>
      <c r="B224" s="3">
        <v>54726715537</v>
      </c>
      <c r="C224" s="7">
        <v>0.25</v>
      </c>
      <c r="D224" s="6">
        <v>383087008759</v>
      </c>
      <c r="E224" s="7">
        <v>0.25</v>
      </c>
      <c r="F224" s="6">
        <v>4379989</v>
      </c>
      <c r="G224" s="8">
        <v>36</v>
      </c>
      <c r="H224" s="3">
        <v>3439222</v>
      </c>
      <c r="J224">
        <v>28.56</v>
      </c>
      <c r="K224">
        <v>28.95</v>
      </c>
      <c r="L224">
        <v>1.63</v>
      </c>
      <c r="M224">
        <v>79.3</v>
      </c>
      <c r="N224">
        <v>102.86</v>
      </c>
      <c r="O224">
        <v>122.95</v>
      </c>
      <c r="P224" s="10" cm="1">
        <f t="array" ref="P224">INTERCEPT(M224:O224,M$1:O$1)</f>
        <v>36.2283333333333</v>
      </c>
      <c r="Q224" s="10" cm="1">
        <f t="array" ref="Q224">SLOPE(M224:O224,M$1:O$1)</f>
        <v>4.365</v>
      </c>
      <c r="R224" s="11">
        <f t="shared" si="22"/>
        <v>38.8448323217672</v>
      </c>
      <c r="S224" s="11">
        <f t="shared" si="23"/>
        <v>8.67014249659654</v>
      </c>
    </row>
    <row r="225" spans="1:19">
      <c r="A225" s="5">
        <v>224</v>
      </c>
      <c r="B225" s="3">
        <v>25763944488</v>
      </c>
      <c r="C225" s="7">
        <v>0.25</v>
      </c>
      <c r="D225" s="6">
        <v>180347611416</v>
      </c>
      <c r="E225" s="7">
        <v>0.25</v>
      </c>
      <c r="F225" s="6">
        <v>42424686</v>
      </c>
      <c r="G225" s="8">
        <v>10</v>
      </c>
      <c r="H225" s="3">
        <v>21748042</v>
      </c>
      <c r="P225" s="10"/>
      <c r="Q225" s="10"/>
      <c r="R225" s="11"/>
      <c r="S225" s="11"/>
    </row>
    <row r="226" spans="1:19">
      <c r="A226" s="5">
        <v>225</v>
      </c>
      <c r="B226" s="3">
        <v>7514115186</v>
      </c>
      <c r="C226" s="7">
        <v>0.25</v>
      </c>
      <c r="D226" s="6">
        <v>52598806302</v>
      </c>
      <c r="E226" s="7">
        <v>0.25</v>
      </c>
      <c r="F226" s="6">
        <v>14035952</v>
      </c>
      <c r="G226" s="8">
        <v>35</v>
      </c>
      <c r="H226" s="3">
        <v>21046451</v>
      </c>
      <c r="P226" s="10"/>
      <c r="Q226" s="10"/>
      <c r="R226" s="11"/>
      <c r="S226" s="11"/>
    </row>
    <row r="227" spans="1:19">
      <c r="A227" s="5">
        <v>226</v>
      </c>
      <c r="B227" s="3">
        <v>61415029114</v>
      </c>
      <c r="C227" s="7">
        <v>0.25</v>
      </c>
      <c r="D227" s="6">
        <v>429905203798</v>
      </c>
      <c r="E227" s="7">
        <v>0.25</v>
      </c>
      <c r="F227" s="6">
        <v>19727698</v>
      </c>
      <c r="G227" s="8">
        <v>45</v>
      </c>
      <c r="H227" s="3">
        <v>5948306</v>
      </c>
      <c r="J227">
        <v>126.28</v>
      </c>
      <c r="K227">
        <v>28.747</v>
      </c>
      <c r="L227">
        <v>3.29</v>
      </c>
      <c r="M227">
        <v>215.12</v>
      </c>
      <c r="N227">
        <v>251.54</v>
      </c>
      <c r="O227">
        <v>279.79</v>
      </c>
      <c r="P227" s="10" cm="1">
        <f t="array" ref="P227">INTERCEPT(M227:O227,M$1:O$1)</f>
        <v>151.811666666667</v>
      </c>
      <c r="Q227" s="10" cm="1">
        <f t="array" ref="Q227">SLOPE(M227:O227,M$1:O$1)</f>
        <v>6.467</v>
      </c>
      <c r="R227" s="11">
        <f t="shared" si="22"/>
        <v>47.0673460448075</v>
      </c>
      <c r="S227" s="11">
        <f t="shared" si="23"/>
        <v>29.8485832299143</v>
      </c>
    </row>
    <row r="228" spans="1:19">
      <c r="A228" s="5">
        <v>227</v>
      </c>
      <c r="B228" s="3">
        <v>54909646843</v>
      </c>
      <c r="C228" s="7">
        <v>0.25</v>
      </c>
      <c r="D228" s="6">
        <v>384367527901</v>
      </c>
      <c r="E228" s="7">
        <v>0.25</v>
      </c>
      <c r="F228" s="6">
        <v>46817073</v>
      </c>
      <c r="G228" s="8">
        <v>30</v>
      </c>
      <c r="H228" s="3">
        <v>20717562</v>
      </c>
      <c r="J228">
        <v>194.31</v>
      </c>
      <c r="K228">
        <v>25</v>
      </c>
      <c r="L228">
        <v>11.45</v>
      </c>
      <c r="M228">
        <v>232.23</v>
      </c>
      <c r="N228">
        <v>245.47</v>
      </c>
      <c r="O228">
        <v>257.76</v>
      </c>
      <c r="P228" s="10" cm="1">
        <f t="array" ref="P228">INTERCEPT(M228:O228,M$1:O$1)</f>
        <v>206.858333333333</v>
      </c>
      <c r="Q228" s="10" cm="1">
        <f t="array" ref="Q228">SLOPE(M228:O228,M$1:O$1)</f>
        <v>2.553</v>
      </c>
      <c r="R228" s="11">
        <f t="shared" si="22"/>
        <v>25.9187037959185</v>
      </c>
      <c r="S228" s="11">
        <f t="shared" si="23"/>
        <v>64.7317902423778</v>
      </c>
    </row>
    <row r="229" spans="1:19">
      <c r="A229" s="5">
        <v>228</v>
      </c>
      <c r="B229" s="3">
        <v>33376350957</v>
      </c>
      <c r="C229" s="7">
        <v>0.25</v>
      </c>
      <c r="D229" s="6">
        <v>233634456699</v>
      </c>
      <c r="E229" s="7">
        <v>0.25</v>
      </c>
      <c r="F229" s="6">
        <v>15820368</v>
      </c>
      <c r="G229" s="8">
        <v>53</v>
      </c>
      <c r="H229" s="3">
        <v>27812067</v>
      </c>
      <c r="P229" s="10"/>
      <c r="Q229" s="10"/>
      <c r="R229" s="11"/>
      <c r="S229" s="11"/>
    </row>
    <row r="230" spans="1:19">
      <c r="A230" s="5">
        <v>229</v>
      </c>
      <c r="B230" s="3">
        <v>70079660670</v>
      </c>
      <c r="C230" s="7">
        <v>0.25</v>
      </c>
      <c r="D230" s="6">
        <v>490557624690</v>
      </c>
      <c r="E230" s="7">
        <v>0.25</v>
      </c>
      <c r="F230" s="6">
        <v>21330476</v>
      </c>
      <c r="G230" s="8">
        <v>32</v>
      </c>
      <c r="H230" s="3">
        <v>26418222</v>
      </c>
      <c r="J230">
        <v>108.6</v>
      </c>
      <c r="K230">
        <v>30</v>
      </c>
      <c r="L230">
        <v>10.96</v>
      </c>
      <c r="M230">
        <v>150.67</v>
      </c>
      <c r="N230">
        <v>166.2</v>
      </c>
      <c r="O230">
        <v>181.34</v>
      </c>
      <c r="P230" s="10" cm="1">
        <f t="array" ref="P230">INTERCEPT(M230:O230,M$1:O$1)</f>
        <v>120.065</v>
      </c>
      <c r="Q230" s="10" cm="1">
        <f t="array" ref="Q230">SLOPE(M230:O230,M$1:O$1)</f>
        <v>3.067</v>
      </c>
      <c r="R230" s="11">
        <f t="shared" si="22"/>
        <v>30.5464708928616</v>
      </c>
      <c r="S230" s="11">
        <f t="shared" si="23"/>
        <v>34.2791103065298</v>
      </c>
    </row>
    <row r="231" spans="1:19">
      <c r="A231" s="5">
        <v>230</v>
      </c>
      <c r="B231" s="3">
        <v>44595099622</v>
      </c>
      <c r="C231" s="7">
        <v>0.25</v>
      </c>
      <c r="D231" s="6">
        <v>312165697354</v>
      </c>
      <c r="E231" s="7">
        <v>0.25</v>
      </c>
      <c r="F231" s="6">
        <v>6690356</v>
      </c>
      <c r="G231" s="8">
        <v>25</v>
      </c>
      <c r="H231" s="3">
        <v>2728793</v>
      </c>
      <c r="J231">
        <v>26.11</v>
      </c>
      <c r="K231">
        <v>24</v>
      </c>
      <c r="L231">
        <v>1.15</v>
      </c>
      <c r="M231">
        <v>54.68</v>
      </c>
      <c r="N231">
        <v>67.15</v>
      </c>
      <c r="O231">
        <v>78.21</v>
      </c>
      <c r="P231" s="10" cm="1">
        <f t="array" ref="P231">INTERCEPT(M231:O231,M$1:O$1)</f>
        <v>31.385</v>
      </c>
      <c r="Q231" s="10" cm="1">
        <f t="array" ref="Q231">SLOPE(M231:O231,M$1:O$1)</f>
        <v>2.353</v>
      </c>
      <c r="R231" s="11">
        <f t="shared" si="22"/>
        <v>23.7983685199113</v>
      </c>
      <c r="S231" s="11">
        <f t="shared" si="23"/>
        <v>10.2301304985322</v>
      </c>
    </row>
    <row r="232" spans="1:19">
      <c r="A232" s="5">
        <v>231</v>
      </c>
      <c r="B232" s="3">
        <v>9748576673</v>
      </c>
      <c r="C232" s="7">
        <v>0.25</v>
      </c>
      <c r="D232" s="6">
        <v>68240036711</v>
      </c>
      <c r="E232" s="7">
        <v>0.25</v>
      </c>
      <c r="F232" s="6">
        <v>22228266</v>
      </c>
      <c r="G232" s="8">
        <v>18</v>
      </c>
      <c r="H232" s="3">
        <v>19810039</v>
      </c>
      <c r="P232" s="10"/>
      <c r="Q232" s="10"/>
      <c r="R232" s="11"/>
      <c r="S232" s="11"/>
    </row>
    <row r="233" spans="1:19">
      <c r="A233" s="5">
        <v>232</v>
      </c>
      <c r="B233" s="3">
        <v>14429849559</v>
      </c>
      <c r="C233" s="7">
        <v>0.25</v>
      </c>
      <c r="D233" s="6">
        <v>101008946913</v>
      </c>
      <c r="E233" s="7">
        <v>0.25</v>
      </c>
      <c r="F233" s="6">
        <v>39511258</v>
      </c>
      <c r="G233" s="8">
        <v>44</v>
      </c>
      <c r="H233" s="3">
        <v>9749850</v>
      </c>
      <c r="P233" s="10"/>
      <c r="Q233" s="10"/>
      <c r="R233" s="11"/>
      <c r="S233" s="11"/>
    </row>
    <row r="234" spans="1:19">
      <c r="A234" s="5">
        <v>233</v>
      </c>
      <c r="B234" s="3">
        <v>43539712229</v>
      </c>
      <c r="C234" s="7">
        <v>0.25</v>
      </c>
      <c r="D234" s="6">
        <v>304777985603</v>
      </c>
      <c r="E234" s="7">
        <v>0.25</v>
      </c>
      <c r="F234" s="6">
        <v>27344459</v>
      </c>
      <c r="G234" s="8">
        <v>23</v>
      </c>
      <c r="H234" s="3">
        <v>21480833</v>
      </c>
      <c r="J234">
        <v>101.45</v>
      </c>
      <c r="K234">
        <v>20</v>
      </c>
      <c r="L234">
        <v>9.4</v>
      </c>
      <c r="M234">
        <v>129.23</v>
      </c>
      <c r="N234">
        <v>137.31</v>
      </c>
      <c r="O234">
        <v>145.23</v>
      </c>
      <c r="P234" s="10" cm="1">
        <f t="array" ref="P234">INTERCEPT(M234:O234,M$1:O$1)</f>
        <v>113.256666666667</v>
      </c>
      <c r="Q234" s="10" cm="1">
        <f t="array" ref="Q234">SLOPE(M234:O234,M$1:O$1)</f>
        <v>1.6</v>
      </c>
      <c r="R234" s="11">
        <f>ASIN((Q234-1)/(Q234+1))/3.1415926*180</f>
        <v>13.3423640246844</v>
      </c>
      <c r="S234" s="11">
        <f>P234*(1-SIN(R234/180*3.1415926))/2/COS(R234/180*3.1415926)</f>
        <v>44.7686283581421</v>
      </c>
    </row>
    <row r="235" spans="1:19">
      <c r="A235" s="5">
        <v>234</v>
      </c>
      <c r="B235" s="3">
        <v>53690471793</v>
      </c>
      <c r="C235" s="7">
        <v>0.25</v>
      </c>
      <c r="D235" s="6">
        <v>375833302551</v>
      </c>
      <c r="E235" s="7">
        <v>0.25</v>
      </c>
      <c r="F235" s="6">
        <v>2028341</v>
      </c>
      <c r="G235" s="8">
        <v>18</v>
      </c>
      <c r="H235" s="3">
        <v>1301002</v>
      </c>
      <c r="P235" s="10"/>
      <c r="Q235" s="10"/>
      <c r="R235" s="11"/>
      <c r="S235" s="11"/>
    </row>
    <row r="236" spans="1:19">
      <c r="A236" s="5">
        <v>235</v>
      </c>
      <c r="B236" s="3">
        <v>61399311873</v>
      </c>
      <c r="C236" s="7">
        <v>0.25</v>
      </c>
      <c r="D236" s="6">
        <v>429795183111</v>
      </c>
      <c r="E236" s="7">
        <v>0.25</v>
      </c>
      <c r="F236" s="6">
        <v>37307709</v>
      </c>
      <c r="G236" s="8">
        <v>13</v>
      </c>
      <c r="H236" s="3">
        <v>15596239</v>
      </c>
      <c r="J236">
        <v>106.6</v>
      </c>
      <c r="K236">
        <v>28.2</v>
      </c>
      <c r="L236">
        <v>5.88</v>
      </c>
      <c r="M236">
        <v>119.58</v>
      </c>
      <c r="N236">
        <v>128.56</v>
      </c>
      <c r="O236">
        <v>136.44</v>
      </c>
      <c r="P236" s="10" cm="1">
        <f t="array" ref="P236">INTERCEPT(M236:O236,M$1:O$1)</f>
        <v>102.903333333333</v>
      </c>
      <c r="Q236" s="10" cm="1">
        <f t="array" ref="Q236">SLOPE(M236:O236,M$1:O$1)</f>
        <v>1.686</v>
      </c>
      <c r="R236" s="11">
        <f t="shared" ref="R235:R241" si="24">ASIN((Q236-1)/(Q236+1))/3.1415926*180</f>
        <v>14.7971914906312</v>
      </c>
      <c r="S236" s="11">
        <f t="shared" ref="S235:S241" si="25">P236*(1-SIN(R236/180*3.1415926))/2/COS(R236/180*3.1415926)</f>
        <v>39.625126549695</v>
      </c>
    </row>
    <row r="237" spans="1:19">
      <c r="A237" s="5">
        <v>236</v>
      </c>
      <c r="B237" s="3">
        <v>72692444825</v>
      </c>
      <c r="C237" s="7">
        <v>0.25</v>
      </c>
      <c r="D237" s="6">
        <v>508847113775</v>
      </c>
      <c r="E237" s="7">
        <v>0.25</v>
      </c>
      <c r="F237" s="6">
        <v>44570700</v>
      </c>
      <c r="G237" s="8">
        <v>14</v>
      </c>
      <c r="H237" s="3">
        <v>21177424</v>
      </c>
      <c r="J237">
        <v>101</v>
      </c>
      <c r="K237">
        <v>33.2</v>
      </c>
      <c r="L237">
        <v>7.93</v>
      </c>
      <c r="M237">
        <v>144.86</v>
      </c>
      <c r="N237">
        <v>153.69</v>
      </c>
      <c r="O237">
        <v>164.12</v>
      </c>
      <c r="P237" s="10" cm="1">
        <f t="array" ref="P237">INTERCEPT(M237:O237,M$1:O$1)</f>
        <v>125.333333333333</v>
      </c>
      <c r="Q237" s="10" cm="1">
        <f t="array" ref="Q237">SLOPE(M237:O237,M$1:O$1)</f>
        <v>1.926</v>
      </c>
      <c r="R237" s="11">
        <f t="shared" si="24"/>
        <v>18.4497607370328</v>
      </c>
      <c r="S237" s="11">
        <f t="shared" si="25"/>
        <v>45.1552710107878</v>
      </c>
    </row>
    <row r="238" spans="1:19">
      <c r="A238" s="5">
        <v>237</v>
      </c>
      <c r="B238" s="3">
        <v>52141441976</v>
      </c>
      <c r="C238" s="7">
        <v>0.25</v>
      </c>
      <c r="D238" s="6">
        <v>364990093832</v>
      </c>
      <c r="E238" s="7">
        <v>0.25</v>
      </c>
      <c r="F238" s="6">
        <v>18100777</v>
      </c>
      <c r="G238" s="8">
        <v>51</v>
      </c>
      <c r="H238" s="3">
        <v>21747953</v>
      </c>
      <c r="J238">
        <v>171.34</v>
      </c>
      <c r="K238">
        <v>23.12</v>
      </c>
      <c r="L238">
        <v>9.52</v>
      </c>
      <c r="M238">
        <v>264.78</v>
      </c>
      <c r="N238">
        <v>313.48</v>
      </c>
      <c r="O238">
        <v>350.97</v>
      </c>
      <c r="P238" s="10" cm="1">
        <f t="array" ref="P238">INTERCEPT(M238:O238,M$1:O$1)</f>
        <v>180.458333333333</v>
      </c>
      <c r="Q238" s="10" cm="1">
        <f t="array" ref="Q238">SLOPE(M238:O238,M$1:O$1)</f>
        <v>8.61900000000001</v>
      </c>
      <c r="R238" s="11">
        <f t="shared" si="24"/>
        <v>52.380147728202</v>
      </c>
      <c r="S238" s="11">
        <f t="shared" si="25"/>
        <v>30.7339588884147</v>
      </c>
    </row>
    <row r="239" spans="1:19">
      <c r="A239" s="5">
        <v>238</v>
      </c>
      <c r="B239" s="3">
        <v>25649922695</v>
      </c>
      <c r="C239" s="7">
        <v>0.25</v>
      </c>
      <c r="D239" s="6">
        <v>179549458865</v>
      </c>
      <c r="E239" s="7">
        <v>0.25</v>
      </c>
      <c r="F239" s="6">
        <v>5954953</v>
      </c>
      <c r="G239" s="8">
        <v>29</v>
      </c>
      <c r="H239" s="3">
        <v>11103950</v>
      </c>
      <c r="J239">
        <v>30.23</v>
      </c>
      <c r="K239">
        <v>11.8</v>
      </c>
      <c r="L239">
        <v>3.7</v>
      </c>
      <c r="M239">
        <v>59.76</v>
      </c>
      <c r="N239">
        <v>71.56</v>
      </c>
      <c r="O239">
        <v>81.9</v>
      </c>
      <c r="P239" s="10" cm="1">
        <f t="array" ref="P239">INTERCEPT(M239:O239,M$1:O$1)</f>
        <v>37.8633333333333</v>
      </c>
      <c r="Q239" s="10" cm="1">
        <f t="array" ref="Q239">SLOPE(M239:O239,M$1:O$1)</f>
        <v>2.214</v>
      </c>
      <c r="R239" s="11">
        <f t="shared" si="24"/>
        <v>22.1926783954234</v>
      </c>
      <c r="S239" s="11">
        <f t="shared" si="25"/>
        <v>12.7233080111645</v>
      </c>
    </row>
    <row r="240" spans="1:19">
      <c r="A240" s="5">
        <v>239</v>
      </c>
      <c r="B240" s="3">
        <v>28228045520</v>
      </c>
      <c r="C240" s="7">
        <v>0.25</v>
      </c>
      <c r="D240" s="6">
        <v>197596318640</v>
      </c>
      <c r="E240" s="7">
        <v>0.25</v>
      </c>
      <c r="F240" s="6">
        <v>33350538</v>
      </c>
      <c r="G240" s="8">
        <v>36</v>
      </c>
      <c r="H240" s="3">
        <v>11095069</v>
      </c>
      <c r="J240">
        <v>150.51</v>
      </c>
      <c r="K240">
        <v>12.76</v>
      </c>
      <c r="L240">
        <v>5.69</v>
      </c>
      <c r="M240">
        <v>198.11</v>
      </c>
      <c r="N240">
        <v>213.61</v>
      </c>
      <c r="O240">
        <v>229.2</v>
      </c>
      <c r="P240" s="10" cm="1">
        <f t="array" ref="P240">INTERCEPT(M240:O240,M$1:O$1)</f>
        <v>167.005</v>
      </c>
      <c r="Q240" s="10" cm="1">
        <f t="array" ref="Q240">SLOPE(M240:O240,M$1:O$1)</f>
        <v>3.109</v>
      </c>
      <c r="R240" s="11">
        <f t="shared" si="24"/>
        <v>30.88146044081</v>
      </c>
      <c r="S240" s="11">
        <f t="shared" si="25"/>
        <v>47.3575380740137</v>
      </c>
    </row>
    <row r="241" spans="1:19">
      <c r="A241" s="5">
        <v>240</v>
      </c>
      <c r="B241" s="3">
        <v>42615935406</v>
      </c>
      <c r="C241" s="7">
        <v>0.25</v>
      </c>
      <c r="D241" s="6">
        <v>298311547842</v>
      </c>
      <c r="E241" s="7">
        <v>0.25</v>
      </c>
      <c r="F241" s="6">
        <v>11132232</v>
      </c>
      <c r="G241" s="8">
        <v>39</v>
      </c>
      <c r="H241" s="3">
        <v>7811250</v>
      </c>
      <c r="J241">
        <v>64.23</v>
      </c>
      <c r="K241">
        <v>19.6</v>
      </c>
      <c r="L241">
        <v>3.97</v>
      </c>
      <c r="M241">
        <v>123.75</v>
      </c>
      <c r="N241">
        <v>147.02</v>
      </c>
      <c r="O241">
        <v>167.55</v>
      </c>
      <c r="P241" s="10" cm="1">
        <f t="array" ref="P241">INTERCEPT(M241:O241,M$1:O$1)</f>
        <v>80.4066666666667</v>
      </c>
      <c r="Q241" s="10" cm="1">
        <f t="array" ref="Q241">SLOPE(M241:O241,M$1:O$1)</f>
        <v>4.38</v>
      </c>
      <c r="R241" s="11">
        <f t="shared" si="24"/>
        <v>38.9213343907633</v>
      </c>
      <c r="S241" s="11">
        <f t="shared" si="25"/>
        <v>19.2098957274886</v>
      </c>
    </row>
    <row r="242" spans="1:19">
      <c r="A242" s="5">
        <v>241</v>
      </c>
      <c r="B242" s="3">
        <v>37769544140</v>
      </c>
      <c r="C242" s="7">
        <v>0.25</v>
      </c>
      <c r="D242" s="6">
        <v>264386808980</v>
      </c>
      <c r="E242" s="7">
        <v>0.25</v>
      </c>
      <c r="F242" s="6">
        <v>25585680</v>
      </c>
      <c r="G242" s="8">
        <v>14</v>
      </c>
      <c r="H242" s="3">
        <v>27710114</v>
      </c>
      <c r="J242">
        <v>83.39</v>
      </c>
      <c r="K242">
        <v>16.16</v>
      </c>
      <c r="L242">
        <v>9.15</v>
      </c>
      <c r="M242">
        <v>95.05</v>
      </c>
      <c r="N242">
        <v>99.68</v>
      </c>
      <c r="O242">
        <v>106.53</v>
      </c>
      <c r="P242" s="10" cm="1">
        <f t="array" ref="P242">INTERCEPT(M242:O242,M$1:O$1)</f>
        <v>83.2</v>
      </c>
      <c r="Q242" s="10" cm="1">
        <f t="array" ref="Q242">SLOPE(M242:O242,M$1:O$1)</f>
        <v>1.148</v>
      </c>
      <c r="R242" s="11">
        <f t="shared" ref="R242:R250" si="26">ASIN((Q242-1)/(Q242+1))/3.1415926*180</f>
        <v>3.95088424264992</v>
      </c>
      <c r="S242" s="11">
        <f t="shared" ref="S242:S250" si="27">P242*(1-SIN(R242/180*3.1415926))/2/COS(R242/180*3.1415926)</f>
        <v>38.825976433221</v>
      </c>
    </row>
    <row r="243" spans="1:19">
      <c r="A243" s="5">
        <v>242</v>
      </c>
      <c r="B243" s="3">
        <v>41603638000</v>
      </c>
      <c r="C243" s="7">
        <v>0.25</v>
      </c>
      <c r="D243" s="6">
        <v>291225466000</v>
      </c>
      <c r="E243" s="7">
        <v>0.25</v>
      </c>
      <c r="F243" s="6">
        <v>2834444</v>
      </c>
      <c r="G243" s="8">
        <v>40</v>
      </c>
      <c r="H243" s="3">
        <v>29356620</v>
      </c>
      <c r="J243">
        <v>44.49</v>
      </c>
      <c r="K243">
        <v>15</v>
      </c>
      <c r="L243">
        <v>3.4</v>
      </c>
      <c r="M243">
        <v>95.32</v>
      </c>
      <c r="N243">
        <v>118.7</v>
      </c>
      <c r="O243">
        <v>141.97</v>
      </c>
      <c r="P243" s="10" cm="1">
        <f t="array" ref="P243">INTERCEPT(M243:O243,M$1:O$1)</f>
        <v>48.6883333333333</v>
      </c>
      <c r="Q243" s="10" cm="1">
        <f t="array" ref="Q243">SLOPE(M243:O243,M$1:O$1)</f>
        <v>4.665</v>
      </c>
      <c r="R243" s="11">
        <f t="shared" si="26"/>
        <v>40.3124130922374</v>
      </c>
      <c r="S243" s="11">
        <f t="shared" si="27"/>
        <v>11.2711722951832</v>
      </c>
    </row>
    <row r="244" spans="1:19">
      <c r="A244" s="5">
        <v>243</v>
      </c>
      <c r="B244" s="3">
        <v>9746782525</v>
      </c>
      <c r="C244" s="7">
        <v>0.25</v>
      </c>
      <c r="D244" s="6">
        <v>68227477675</v>
      </c>
      <c r="E244" s="7">
        <v>0.25</v>
      </c>
      <c r="F244" s="6">
        <v>23398060</v>
      </c>
      <c r="G244" s="8">
        <v>45</v>
      </c>
      <c r="H244" s="3">
        <v>13930655</v>
      </c>
      <c r="P244" s="10"/>
      <c r="Q244" s="10"/>
      <c r="R244" s="11"/>
      <c r="S244" s="11"/>
    </row>
    <row r="245" spans="1:19">
      <c r="A245" s="5">
        <v>244</v>
      </c>
      <c r="B245" s="3">
        <v>79499344792</v>
      </c>
      <c r="C245" s="7">
        <v>0.25</v>
      </c>
      <c r="D245" s="6">
        <v>556495413544</v>
      </c>
      <c r="E245" s="7">
        <v>0.25</v>
      </c>
      <c r="F245" s="6">
        <v>30190521</v>
      </c>
      <c r="G245" s="8">
        <v>11</v>
      </c>
      <c r="H245" s="3">
        <v>29977853</v>
      </c>
      <c r="P245" s="10"/>
      <c r="Q245" s="10"/>
      <c r="R245" s="11"/>
      <c r="S245" s="11"/>
    </row>
    <row r="246" spans="1:19">
      <c r="A246" s="5">
        <v>245</v>
      </c>
      <c r="B246" s="3">
        <v>58349838021</v>
      </c>
      <c r="C246" s="7">
        <v>0.25</v>
      </c>
      <c r="D246" s="6">
        <v>408448866147</v>
      </c>
      <c r="E246" s="7">
        <v>0.25</v>
      </c>
      <c r="F246" s="6">
        <v>23972424</v>
      </c>
      <c r="G246" s="8">
        <v>11</v>
      </c>
      <c r="H246" s="3">
        <v>2839029</v>
      </c>
      <c r="J246">
        <v>62.73</v>
      </c>
      <c r="K246">
        <v>27.6</v>
      </c>
      <c r="L246">
        <v>1.5</v>
      </c>
      <c r="M246">
        <v>74.61</v>
      </c>
      <c r="N246">
        <v>80.45</v>
      </c>
      <c r="O246">
        <v>87.56</v>
      </c>
      <c r="P246" s="10" cm="1">
        <f t="array" ref="P246">INTERCEPT(M246:O246,M$1:O$1)</f>
        <v>61.4483333333333</v>
      </c>
      <c r="Q246" s="10" cm="1">
        <f t="array" ref="Q246">SLOPE(M246:O246,M$1:O$1)</f>
        <v>1.295</v>
      </c>
      <c r="R246" s="11">
        <f t="shared" si="26"/>
        <v>7.38525039289132</v>
      </c>
      <c r="S246" s="11">
        <f t="shared" si="27"/>
        <v>26.9988476425203</v>
      </c>
    </row>
    <row r="247" spans="1:19">
      <c r="A247" s="5">
        <v>246</v>
      </c>
      <c r="B247" s="3">
        <v>76816356760</v>
      </c>
      <c r="C247" s="7">
        <v>0.25</v>
      </c>
      <c r="D247" s="6">
        <v>537714497320</v>
      </c>
      <c r="E247" s="7">
        <v>0.25</v>
      </c>
      <c r="F247" s="6">
        <v>10521126</v>
      </c>
      <c r="G247" s="8">
        <v>14</v>
      </c>
      <c r="H247" s="3">
        <v>16034965</v>
      </c>
      <c r="P247" s="10"/>
      <c r="Q247" s="10"/>
      <c r="R247" s="11"/>
      <c r="S247" s="11"/>
    </row>
    <row r="248" spans="1:19">
      <c r="A248" s="5">
        <v>247</v>
      </c>
      <c r="B248" s="3">
        <v>15745385222</v>
      </c>
      <c r="C248" s="7">
        <v>0.25</v>
      </c>
      <c r="D248" s="6">
        <v>110217696554</v>
      </c>
      <c r="E248" s="7">
        <v>0.25</v>
      </c>
      <c r="F248" s="6">
        <v>5401022</v>
      </c>
      <c r="G248" s="8">
        <v>22</v>
      </c>
      <c r="H248" s="3">
        <v>11530854</v>
      </c>
      <c r="J248">
        <v>22.16</v>
      </c>
      <c r="K248">
        <v>7.81</v>
      </c>
      <c r="L248">
        <v>3.24</v>
      </c>
      <c r="M248">
        <v>40.43</v>
      </c>
      <c r="N248">
        <v>47.35</v>
      </c>
      <c r="O248">
        <v>57.22</v>
      </c>
      <c r="P248" s="10" cm="1">
        <f t="array" ref="P248">INTERCEPT(M248:O248,M$1:O$1)</f>
        <v>23.1483333333333</v>
      </c>
      <c r="Q248" s="10" cm="1">
        <f t="array" ref="Q248">SLOPE(M248:O248,M$1:O$1)</f>
        <v>1.679</v>
      </c>
      <c r="R248" s="11">
        <f t="shared" si="26"/>
        <v>14.6819247293842</v>
      </c>
      <c r="S248" s="11">
        <f t="shared" si="27"/>
        <v>8.93232227339664</v>
      </c>
    </row>
    <row r="249" spans="1:19">
      <c r="A249" s="5">
        <v>248</v>
      </c>
      <c r="B249" s="3">
        <v>27535562798</v>
      </c>
      <c r="C249" s="7">
        <v>0.25</v>
      </c>
      <c r="D249" s="6">
        <v>192748939586</v>
      </c>
      <c r="E249" s="7">
        <v>0.25</v>
      </c>
      <c r="F249" s="6">
        <v>30715668</v>
      </c>
      <c r="G249" s="8">
        <v>10</v>
      </c>
      <c r="H249" s="3">
        <v>29110420</v>
      </c>
      <c r="P249" s="10"/>
      <c r="Q249" s="10"/>
      <c r="R249" s="11"/>
      <c r="S249" s="11"/>
    </row>
    <row r="250" spans="1:19">
      <c r="A250" s="5">
        <v>249</v>
      </c>
      <c r="B250" s="3">
        <v>46464025949</v>
      </c>
      <c r="C250" s="7">
        <v>0.25</v>
      </c>
      <c r="D250" s="6">
        <v>325248181643</v>
      </c>
      <c r="E250" s="7">
        <v>0.25</v>
      </c>
      <c r="F250" s="6">
        <v>14798099</v>
      </c>
      <c r="G250" s="8">
        <v>12</v>
      </c>
      <c r="H250" s="3">
        <v>27717647</v>
      </c>
      <c r="J250">
        <v>48.36</v>
      </c>
      <c r="K250">
        <v>22.13</v>
      </c>
      <c r="L250">
        <v>7.7</v>
      </c>
      <c r="M250">
        <v>59.78</v>
      </c>
      <c r="N250">
        <v>65.41</v>
      </c>
      <c r="O250">
        <v>71.18</v>
      </c>
      <c r="P250" s="10" cm="1">
        <f t="array" ref="P250">INTERCEPT(M250:O250,M$1:O$1)</f>
        <v>48.3566666666667</v>
      </c>
      <c r="Q250" s="10" cm="1">
        <f t="array" ref="Q250">SLOPE(M250:O250,M$1:O$1)</f>
        <v>1.14</v>
      </c>
      <c r="R250" s="11">
        <f t="shared" si="26"/>
        <v>3.75100095993651</v>
      </c>
      <c r="S250" s="11">
        <f t="shared" si="27"/>
        <v>22.6450839476927</v>
      </c>
    </row>
    <row r="251" spans="1:19">
      <c r="A251" s="5">
        <v>250</v>
      </c>
      <c r="B251" s="3">
        <v>8274802688</v>
      </c>
      <c r="C251" s="7">
        <v>0.25</v>
      </c>
      <c r="D251" s="6">
        <v>57923618816</v>
      </c>
      <c r="E251" s="7">
        <v>0.25</v>
      </c>
      <c r="F251" s="6">
        <v>36444464</v>
      </c>
      <c r="G251" s="8">
        <v>39</v>
      </c>
      <c r="H251" s="3">
        <v>13356903</v>
      </c>
      <c r="P251" s="10"/>
      <c r="Q251" s="10"/>
      <c r="R251" s="11"/>
      <c r="S251" s="11"/>
    </row>
    <row r="252" spans="1:19">
      <c r="A252" s="5">
        <v>251</v>
      </c>
      <c r="B252" s="3">
        <v>77554213129</v>
      </c>
      <c r="C252" s="7">
        <v>0.25</v>
      </c>
      <c r="D252" s="6">
        <v>542879491903</v>
      </c>
      <c r="E252" s="7">
        <v>0.25</v>
      </c>
      <c r="F252" s="6">
        <v>20773361</v>
      </c>
      <c r="G252" s="8">
        <v>44</v>
      </c>
      <c r="H252" s="3">
        <v>2961349</v>
      </c>
      <c r="J252">
        <v>125.6</v>
      </c>
      <c r="K252">
        <v>35.34</v>
      </c>
      <c r="L252">
        <v>1.68</v>
      </c>
      <c r="M252">
        <v>221.83</v>
      </c>
      <c r="N252">
        <v>257.67</v>
      </c>
      <c r="O252">
        <v>288.04</v>
      </c>
      <c r="P252" s="10" cm="1">
        <f t="array" ref="P252">INTERCEPT(M252:O252,M$1:O$1)</f>
        <v>156.531666666667</v>
      </c>
      <c r="Q252" s="10" cm="1">
        <f t="array" ref="Q252">SLOPE(M252:O252,M$1:O$1)</f>
        <v>6.621</v>
      </c>
      <c r="R252" s="11">
        <f t="shared" ref="R251:R271" si="28">ASIN((Q252-1)/(Q252+1))/3.1415926*180</f>
        <v>47.5245935322777</v>
      </c>
      <c r="S252" s="11">
        <f t="shared" ref="S251:S271" si="29">P252*(1-SIN(R252/180*3.1415926))/2/COS(R252/180*3.1415926)</f>
        <v>30.4165827199412</v>
      </c>
    </row>
    <row r="253" spans="1:19">
      <c r="A253" s="5">
        <v>252</v>
      </c>
      <c r="B253" s="3">
        <v>49732769043</v>
      </c>
      <c r="C253" s="7">
        <v>0.25</v>
      </c>
      <c r="D253" s="6">
        <v>348129383301</v>
      </c>
      <c r="E253" s="7">
        <v>0.25</v>
      </c>
      <c r="F253" s="6">
        <v>41029480</v>
      </c>
      <c r="G253" s="8">
        <v>14</v>
      </c>
      <c r="H253" s="3">
        <v>7686482</v>
      </c>
      <c r="J253">
        <v>115.6</v>
      </c>
      <c r="K253">
        <v>22.58</v>
      </c>
      <c r="L253">
        <v>4.64</v>
      </c>
      <c r="M253">
        <v>130.36</v>
      </c>
      <c r="N253">
        <v>135.49</v>
      </c>
      <c r="O253">
        <v>150.09</v>
      </c>
      <c r="P253" s="10" cm="1">
        <f t="array" ref="P253">INTERCEPT(M253:O253,M$1:O$1)</f>
        <v>109.051666666667</v>
      </c>
      <c r="Q253" s="10" cm="1">
        <f t="array" ref="Q253">SLOPE(M253:O253,M$1:O$1)</f>
        <v>1.973</v>
      </c>
      <c r="R253" s="11">
        <f t="shared" si="28"/>
        <v>19.1036956257236</v>
      </c>
      <c r="S253" s="11">
        <f t="shared" si="29"/>
        <v>38.8185017406908</v>
      </c>
    </row>
    <row r="254" spans="1:19">
      <c r="A254" s="5">
        <v>253</v>
      </c>
      <c r="B254" s="3">
        <v>56387647657</v>
      </c>
      <c r="C254" s="7">
        <v>0.25</v>
      </c>
      <c r="D254" s="6">
        <v>394713533599</v>
      </c>
      <c r="E254" s="7">
        <v>0.25</v>
      </c>
      <c r="F254" s="6">
        <v>16880524</v>
      </c>
      <c r="G254" s="8">
        <v>34</v>
      </c>
      <c r="H254" s="3">
        <v>29582577</v>
      </c>
      <c r="J254">
        <v>98.15</v>
      </c>
      <c r="K254">
        <v>25.9</v>
      </c>
      <c r="L254">
        <v>10.27</v>
      </c>
      <c r="M254">
        <v>138.03</v>
      </c>
      <c r="N254">
        <v>155.56</v>
      </c>
      <c r="O254">
        <v>174.84</v>
      </c>
      <c r="P254" s="10" cm="1">
        <f t="array" ref="P254">INTERCEPT(M254:O254,M$1:O$1)</f>
        <v>100.928333333333</v>
      </c>
      <c r="Q254" s="10" cm="1">
        <f t="array" ref="Q254">SLOPE(M254:O254,M$1:O$1)</f>
        <v>3.681</v>
      </c>
      <c r="R254" s="11">
        <f t="shared" si="28"/>
        <v>34.9415773742589</v>
      </c>
      <c r="S254" s="11">
        <f t="shared" si="29"/>
        <v>26.3026918658865</v>
      </c>
    </row>
    <row r="255" spans="1:19">
      <c r="A255" s="5">
        <v>254</v>
      </c>
      <c r="B255" s="3">
        <v>60175816336</v>
      </c>
      <c r="C255" s="7">
        <v>0.25</v>
      </c>
      <c r="D255" s="6">
        <v>421230714352</v>
      </c>
      <c r="E255" s="7">
        <v>0.25</v>
      </c>
      <c r="F255" s="6">
        <v>6447264</v>
      </c>
      <c r="G255" s="8">
        <v>46</v>
      </c>
      <c r="H255" s="3">
        <v>28211189</v>
      </c>
      <c r="J255">
        <v>87.53</v>
      </c>
      <c r="K255">
        <v>26.6</v>
      </c>
      <c r="L255">
        <v>6.67</v>
      </c>
      <c r="M255">
        <v>168.45</v>
      </c>
      <c r="N255">
        <v>204.89</v>
      </c>
      <c r="O255">
        <v>232.14</v>
      </c>
      <c r="P255" s="10" cm="1">
        <f t="array" ref="P255">INTERCEPT(M255:O255,M$1:O$1)</f>
        <v>106.291666666667</v>
      </c>
      <c r="Q255" s="10" cm="1">
        <f t="array" ref="Q255">SLOPE(M255:O255,M$1:O$1)</f>
        <v>6.369</v>
      </c>
      <c r="R255" s="11">
        <f t="shared" si="28"/>
        <v>46.7685497816361</v>
      </c>
      <c r="S255" s="11">
        <f t="shared" si="29"/>
        <v>21.0587988736466</v>
      </c>
    </row>
    <row r="256" spans="1:19">
      <c r="A256" s="5">
        <v>255</v>
      </c>
      <c r="B256" s="3">
        <v>35278114847</v>
      </c>
      <c r="C256" s="7">
        <v>0.25</v>
      </c>
      <c r="D256" s="6">
        <v>246946803929</v>
      </c>
      <c r="E256" s="7">
        <v>0.25</v>
      </c>
      <c r="F256" s="6">
        <v>38922139</v>
      </c>
      <c r="G256" s="8">
        <v>40</v>
      </c>
      <c r="H256" s="3">
        <v>8864964</v>
      </c>
      <c r="J256">
        <v>194.44</v>
      </c>
      <c r="K256">
        <v>15.84</v>
      </c>
      <c r="L256">
        <v>5.39</v>
      </c>
      <c r="M256" s="13">
        <v>248.9</v>
      </c>
      <c r="N256" s="13">
        <v>267.3</v>
      </c>
      <c r="O256">
        <v>288.26</v>
      </c>
      <c r="P256" s="10" cm="1">
        <f t="array" ref="P256">INTERCEPT(M256:O256,M$1:O$1)</f>
        <v>209.113333333333</v>
      </c>
      <c r="Q256" s="10" cm="1">
        <f t="array" ref="Q256">SLOPE(M256:O256,M$1:O$1)</f>
        <v>3.936</v>
      </c>
      <c r="R256" s="11">
        <f t="shared" si="28"/>
        <v>36.4993468461724</v>
      </c>
      <c r="S256" s="11">
        <f t="shared" si="29"/>
        <v>52.7016465867856</v>
      </c>
    </row>
    <row r="257" spans="1:19">
      <c r="A257" s="5">
        <v>256</v>
      </c>
      <c r="B257" s="3">
        <v>61313805926</v>
      </c>
      <c r="C257" s="7">
        <v>0.25</v>
      </c>
      <c r="D257" s="6">
        <v>429196641482</v>
      </c>
      <c r="E257" s="7">
        <v>0.25</v>
      </c>
      <c r="F257" s="6">
        <v>16729725</v>
      </c>
      <c r="G257" s="8">
        <v>25</v>
      </c>
      <c r="H257" s="3">
        <v>24912525</v>
      </c>
      <c r="J257">
        <v>70.16</v>
      </c>
      <c r="K257">
        <v>28.64</v>
      </c>
      <c r="L257">
        <v>9.28</v>
      </c>
      <c r="M257">
        <v>100.56</v>
      </c>
      <c r="N257">
        <v>110.11</v>
      </c>
      <c r="O257">
        <v>119.86</v>
      </c>
      <c r="P257" s="10" cm="1">
        <f t="array" ref="P257">INTERCEPT(M257:O257,M$1:O$1)</f>
        <v>81.2266666666667</v>
      </c>
      <c r="Q257" s="10" cm="1">
        <f t="array" ref="Q257">SLOPE(M257:O257,M$1:O$1)</f>
        <v>1.93</v>
      </c>
      <c r="R257" s="11">
        <f t="shared" si="28"/>
        <v>18.5061320592101</v>
      </c>
      <c r="S257" s="11">
        <f t="shared" si="29"/>
        <v>29.2341170237403</v>
      </c>
    </row>
    <row r="258" spans="1:19">
      <c r="A258" s="5">
        <v>257</v>
      </c>
      <c r="B258" s="3">
        <v>37640876376</v>
      </c>
      <c r="C258" s="7">
        <v>0.25</v>
      </c>
      <c r="D258" s="6">
        <v>263486134632</v>
      </c>
      <c r="E258" s="7">
        <v>0.25</v>
      </c>
      <c r="F258" s="6">
        <v>36748209</v>
      </c>
      <c r="G258" s="8">
        <v>58</v>
      </c>
      <c r="H258" s="3">
        <v>16013170</v>
      </c>
      <c r="P258" s="10"/>
      <c r="Q258" s="10"/>
      <c r="R258" s="11"/>
      <c r="S258" s="11"/>
    </row>
    <row r="259" spans="1:19">
      <c r="A259" s="5">
        <v>258</v>
      </c>
      <c r="B259" s="3">
        <v>56647931551</v>
      </c>
      <c r="C259" s="7">
        <v>0.25</v>
      </c>
      <c r="D259" s="6">
        <v>396535520857</v>
      </c>
      <c r="E259" s="7">
        <v>0.25</v>
      </c>
      <c r="F259" s="6">
        <v>20535753</v>
      </c>
      <c r="G259" s="8">
        <v>52</v>
      </c>
      <c r="H259" s="3">
        <v>14766868</v>
      </c>
      <c r="J259">
        <v>182.22</v>
      </c>
      <c r="K259">
        <v>25.15</v>
      </c>
      <c r="L259">
        <v>8.45</v>
      </c>
      <c r="M259">
        <v>298.87</v>
      </c>
      <c r="N259">
        <v>344.92</v>
      </c>
      <c r="O259">
        <v>397.72</v>
      </c>
      <c r="P259" s="10" cm="1">
        <f t="array" ref="P259">INTERCEPT(M259:O259,M$1:O$1)</f>
        <v>198.895</v>
      </c>
      <c r="Q259" s="10" cm="1">
        <f t="array" ref="Q259">SLOPE(M259:O259,M$1:O$1)</f>
        <v>9.885</v>
      </c>
      <c r="R259" s="11">
        <f t="shared" si="28"/>
        <v>54.7122301532138</v>
      </c>
      <c r="S259" s="11">
        <f t="shared" si="29"/>
        <v>31.6304618359979</v>
      </c>
    </row>
    <row r="260" spans="1:19">
      <c r="A260" s="5">
        <v>259</v>
      </c>
      <c r="B260" s="3">
        <v>22556507855</v>
      </c>
      <c r="C260" s="7">
        <v>0.25</v>
      </c>
      <c r="D260" s="6">
        <v>157895554985</v>
      </c>
      <c r="E260" s="7">
        <v>0.25</v>
      </c>
      <c r="F260" s="6">
        <v>17853435</v>
      </c>
      <c r="G260" s="8">
        <v>19</v>
      </c>
      <c r="H260" s="3">
        <v>12974228</v>
      </c>
      <c r="J260">
        <v>62.31</v>
      </c>
      <c r="K260">
        <v>10.43</v>
      </c>
      <c r="L260">
        <v>5.36</v>
      </c>
      <c r="M260">
        <v>80.94</v>
      </c>
      <c r="N260">
        <v>86.81</v>
      </c>
      <c r="O260">
        <v>93.62</v>
      </c>
      <c r="P260" s="10" cm="1">
        <f t="array" ref="P260">INTERCEPT(M260:O260,M$1:O$1)</f>
        <v>68.1033333333333</v>
      </c>
      <c r="Q260" s="10" cm="1">
        <f t="array" ref="Q260">SLOPE(M260:O260,M$1:O$1)</f>
        <v>1.268</v>
      </c>
      <c r="R260" s="11">
        <f t="shared" si="28"/>
        <v>6.78625672521277</v>
      </c>
      <c r="S260" s="11">
        <f t="shared" si="29"/>
        <v>30.2397883118146</v>
      </c>
    </row>
    <row r="261" spans="1:19">
      <c r="A261" s="5">
        <v>260</v>
      </c>
      <c r="B261" s="3">
        <v>71652911610</v>
      </c>
      <c r="C261" s="7">
        <v>0.25</v>
      </c>
      <c r="D261" s="6">
        <v>501570381270</v>
      </c>
      <c r="E261" s="7">
        <v>0.25</v>
      </c>
      <c r="F261" s="6">
        <v>41949249</v>
      </c>
      <c r="G261" s="8">
        <v>36</v>
      </c>
      <c r="H261" s="3">
        <v>22455923</v>
      </c>
      <c r="J261">
        <v>207.94</v>
      </c>
      <c r="K261">
        <v>32.3</v>
      </c>
      <c r="L261">
        <v>11.92</v>
      </c>
      <c r="M261">
        <v>259.84</v>
      </c>
      <c r="N261">
        <v>281.7</v>
      </c>
      <c r="O261">
        <v>303.6</v>
      </c>
      <c r="P261" s="10" cm="1">
        <f t="array" ref="P261">INTERCEPT(M261:O261,M$1:O$1)</f>
        <v>216.073333333333</v>
      </c>
      <c r="Q261" s="10" cm="1">
        <f t="array" ref="Q261">SLOPE(M261:O261,M$1:O$1)</f>
        <v>4.376</v>
      </c>
      <c r="R261" s="11">
        <f t="shared" si="28"/>
        <v>38.9009675345063</v>
      </c>
      <c r="S261" s="11">
        <f t="shared" si="29"/>
        <v>51.6455039367805</v>
      </c>
    </row>
    <row r="262" spans="1:19">
      <c r="A262" s="5">
        <v>261</v>
      </c>
      <c r="B262" s="3">
        <v>37334146610</v>
      </c>
      <c r="C262" s="7">
        <v>0.25</v>
      </c>
      <c r="D262" s="6">
        <v>261339026270</v>
      </c>
      <c r="E262" s="7">
        <v>0.25</v>
      </c>
      <c r="F262" s="6">
        <v>35792884</v>
      </c>
      <c r="G262" s="8">
        <v>60</v>
      </c>
      <c r="H262" s="3">
        <v>23222603</v>
      </c>
      <c r="P262" s="10"/>
      <c r="Q262" s="10"/>
      <c r="R262" s="11"/>
      <c r="S262" s="11"/>
    </row>
    <row r="263" spans="1:19">
      <c r="A263" s="5">
        <v>262</v>
      </c>
      <c r="B263" s="3">
        <v>21978428892</v>
      </c>
      <c r="C263" s="7">
        <v>0.25</v>
      </c>
      <c r="D263" s="6">
        <v>153849002244</v>
      </c>
      <c r="E263" s="7">
        <v>0.25</v>
      </c>
      <c r="F263" s="6">
        <v>15833341</v>
      </c>
      <c r="G263" s="8">
        <v>23</v>
      </c>
      <c r="H263" s="3">
        <v>20728458</v>
      </c>
      <c r="J263">
        <v>63.25</v>
      </c>
      <c r="K263">
        <v>10.1</v>
      </c>
      <c r="L263">
        <v>7.2</v>
      </c>
      <c r="M263">
        <v>80.77</v>
      </c>
      <c r="N263">
        <v>88.66</v>
      </c>
      <c r="O263">
        <v>96.62</v>
      </c>
      <c r="P263" s="10" cm="1">
        <f t="array" ref="P263">INTERCEPT(M263:O263,M$1:O$1)</f>
        <v>64.9083333333333</v>
      </c>
      <c r="Q263" s="10" cm="1">
        <f t="array" ref="Q263">SLOPE(M263:O263,M$1:O$1)</f>
        <v>1.585</v>
      </c>
      <c r="R263" s="11">
        <f t="shared" si="28"/>
        <v>13.0796647854012</v>
      </c>
      <c r="S263" s="11">
        <f t="shared" si="29"/>
        <v>25.7783923165821</v>
      </c>
    </row>
    <row r="264" spans="1:19">
      <c r="A264" s="5">
        <v>263</v>
      </c>
      <c r="B264" s="3">
        <v>47552037186</v>
      </c>
      <c r="C264" s="7">
        <v>0.25</v>
      </c>
      <c r="D264" s="6">
        <v>332864260302</v>
      </c>
      <c r="E264" s="7">
        <v>0.25</v>
      </c>
      <c r="F264" s="6">
        <v>39975115</v>
      </c>
      <c r="G264" s="8">
        <v>10</v>
      </c>
      <c r="H264" s="3">
        <v>5976919</v>
      </c>
      <c r="P264" s="10"/>
      <c r="Q264" s="10"/>
      <c r="R264" s="11"/>
      <c r="S264" s="11"/>
    </row>
    <row r="265" spans="1:19">
      <c r="A265" s="5">
        <v>264</v>
      </c>
      <c r="B265" s="3">
        <v>67016415401</v>
      </c>
      <c r="C265" s="7">
        <v>0.25</v>
      </c>
      <c r="D265" s="6">
        <v>469114907807</v>
      </c>
      <c r="E265" s="7">
        <v>0.25</v>
      </c>
      <c r="F265" s="6">
        <v>10169087</v>
      </c>
      <c r="G265" s="8">
        <v>15</v>
      </c>
      <c r="H265" s="3">
        <v>9730316</v>
      </c>
      <c r="J265">
        <v>32.17</v>
      </c>
      <c r="K265">
        <v>30</v>
      </c>
      <c r="L265">
        <v>2.33</v>
      </c>
      <c r="M265">
        <v>52.55</v>
      </c>
      <c r="N265">
        <v>59.08</v>
      </c>
      <c r="O265">
        <v>63.58</v>
      </c>
      <c r="P265" s="10" cm="1">
        <f t="array" ref="P265">INTERCEPT(M265:O265,M$1:O$1)</f>
        <v>41.8583333333333</v>
      </c>
      <c r="Q265" s="10" cm="1">
        <f t="array" ref="Q265">SLOPE(M265:O265,M$1:O$1)</f>
        <v>1.103</v>
      </c>
      <c r="R265" s="11">
        <f t="shared" si="28"/>
        <v>2.80733588067209</v>
      </c>
      <c r="S265" s="11">
        <f t="shared" si="29"/>
        <v>19.9280213690548</v>
      </c>
    </row>
    <row r="266" spans="1:19">
      <c r="A266" s="5">
        <v>265</v>
      </c>
      <c r="B266" s="3">
        <v>23913642737</v>
      </c>
      <c r="C266" s="7">
        <v>0.25</v>
      </c>
      <c r="D266" s="6">
        <v>167395499159</v>
      </c>
      <c r="E266" s="7">
        <v>0.25</v>
      </c>
      <c r="F266" s="6">
        <v>20251536</v>
      </c>
      <c r="G266" s="8">
        <v>43</v>
      </c>
      <c r="H266" s="3">
        <v>15645345</v>
      </c>
      <c r="J266">
        <v>122.66</v>
      </c>
      <c r="K266">
        <v>10.79</v>
      </c>
      <c r="L266">
        <v>7.73</v>
      </c>
      <c r="M266">
        <v>170.46</v>
      </c>
      <c r="N266">
        <v>192.11</v>
      </c>
      <c r="O266">
        <v>213.95</v>
      </c>
      <c r="P266" s="10" cm="1">
        <f t="array" ref="P266">INTERCEPT(M266:O266,M$1:O$1)</f>
        <v>126.938333333333</v>
      </c>
      <c r="Q266" s="10" cm="1">
        <f t="array" ref="Q266">SLOPE(M266:O266,M$1:O$1)</f>
        <v>4.349</v>
      </c>
      <c r="R266" s="11">
        <f t="shared" si="28"/>
        <v>38.7628485489108</v>
      </c>
      <c r="S266" s="11">
        <f t="shared" si="29"/>
        <v>30.4346346274624</v>
      </c>
    </row>
    <row r="267" spans="1:19">
      <c r="A267" s="5">
        <v>266</v>
      </c>
      <c r="B267" s="3">
        <v>29706073162</v>
      </c>
      <c r="C267" s="7">
        <v>0.25</v>
      </c>
      <c r="D267" s="6">
        <v>207942512134</v>
      </c>
      <c r="E267" s="7">
        <v>0.25</v>
      </c>
      <c r="F267" s="6">
        <v>13925463</v>
      </c>
      <c r="G267" s="8">
        <v>45</v>
      </c>
      <c r="H267" s="3">
        <v>12263283</v>
      </c>
      <c r="J267">
        <v>95.17</v>
      </c>
      <c r="K267">
        <v>13.48</v>
      </c>
      <c r="L267">
        <v>6.55</v>
      </c>
      <c r="M267">
        <v>160.34</v>
      </c>
      <c r="N267">
        <v>187.66</v>
      </c>
      <c r="O267">
        <v>217.03</v>
      </c>
      <c r="P267" s="10" cm="1">
        <f t="array" ref="P267">INTERCEPT(M267:O267,M$1:O$1)</f>
        <v>103.308333333333</v>
      </c>
      <c r="Q267" s="10" cm="1">
        <f t="array" ref="Q267">SLOPE(M267:O267,M$1:O$1)</f>
        <v>5.669</v>
      </c>
      <c r="R267" s="11">
        <f t="shared" si="28"/>
        <v>44.4354265826846</v>
      </c>
      <c r="S267" s="11">
        <f t="shared" si="29"/>
        <v>21.6946241715447</v>
      </c>
    </row>
    <row r="268" spans="1:19">
      <c r="A268" s="5">
        <v>267</v>
      </c>
      <c r="B268" s="3">
        <v>69981829918</v>
      </c>
      <c r="C268" s="7">
        <v>0.25</v>
      </c>
      <c r="D268" s="6">
        <v>489872809426</v>
      </c>
      <c r="E268" s="7">
        <v>0.25</v>
      </c>
      <c r="F268" s="6">
        <v>17332423</v>
      </c>
      <c r="G268" s="8">
        <v>46</v>
      </c>
      <c r="H268" s="3">
        <v>18799888</v>
      </c>
      <c r="J268">
        <v>135.1</v>
      </c>
      <c r="K268">
        <v>32</v>
      </c>
      <c r="L268">
        <v>8.48</v>
      </c>
      <c r="M268" s="13">
        <v>225.7</v>
      </c>
      <c r="N268">
        <v>262.23</v>
      </c>
      <c r="O268">
        <v>294.19</v>
      </c>
      <c r="P268" s="10" cm="1">
        <f t="array" ref="P268">INTERCEPT(M268:O268,M$1:O$1)</f>
        <v>157.971666666667</v>
      </c>
      <c r="Q268" s="10" cm="1">
        <f t="array" ref="Q268">SLOPE(M268:O268,M$1:O$1)</f>
        <v>6.849</v>
      </c>
      <c r="R268" s="11">
        <f t="shared" si="28"/>
        <v>48.1754622993811</v>
      </c>
      <c r="S268" s="11">
        <f t="shared" si="29"/>
        <v>30.1811387142184</v>
      </c>
    </row>
    <row r="269" spans="1:19">
      <c r="A269" s="5">
        <v>268</v>
      </c>
      <c r="B269" s="3">
        <v>35044409765</v>
      </c>
      <c r="C269" s="7">
        <v>0.25</v>
      </c>
      <c r="D269" s="6">
        <v>245310868355</v>
      </c>
      <c r="E269" s="7">
        <v>0.25</v>
      </c>
      <c r="F269" s="6">
        <v>35997160</v>
      </c>
      <c r="G269" s="8">
        <v>16</v>
      </c>
      <c r="H269" s="3">
        <v>26210931</v>
      </c>
      <c r="J269">
        <v>117.55</v>
      </c>
      <c r="K269">
        <v>16</v>
      </c>
      <c r="L269" s="13">
        <v>10.4</v>
      </c>
      <c r="M269">
        <v>134.91</v>
      </c>
      <c r="N269">
        <v>141.73</v>
      </c>
      <c r="O269">
        <v>145.95</v>
      </c>
      <c r="P269" s="10" cm="1">
        <f t="array" ref="P269">INTERCEPT(M269:O269,M$1:O$1)</f>
        <v>124.303333333333</v>
      </c>
      <c r="Q269" s="10" cm="1">
        <f t="array" ref="Q269">SLOPE(M269:O269,M$1:O$1)</f>
        <v>1.104</v>
      </c>
      <c r="R269" s="11">
        <f t="shared" si="28"/>
        <v>2.83326537109006</v>
      </c>
      <c r="S269" s="11">
        <f t="shared" si="29"/>
        <v>59.1518378241542</v>
      </c>
    </row>
    <row r="270" spans="1:19">
      <c r="A270" s="5">
        <v>269</v>
      </c>
      <c r="B270" s="3">
        <v>79757557186</v>
      </c>
      <c r="C270" s="7">
        <v>0.25</v>
      </c>
      <c r="D270" s="6">
        <v>558302900302</v>
      </c>
      <c r="E270" s="7">
        <v>0.25</v>
      </c>
      <c r="F270" s="6">
        <v>38128932</v>
      </c>
      <c r="G270" s="8">
        <v>38</v>
      </c>
      <c r="H270" s="3">
        <v>9699244</v>
      </c>
      <c r="J270">
        <v>186.87</v>
      </c>
      <c r="K270">
        <v>36</v>
      </c>
      <c r="L270">
        <v>5.69</v>
      </c>
      <c r="M270">
        <v>254.48</v>
      </c>
      <c r="N270">
        <v>277.68</v>
      </c>
      <c r="O270">
        <v>302.42</v>
      </c>
      <c r="P270" s="10" cm="1">
        <f t="array" ref="P270">INTERCEPT(M270:O270,M$1:O$1)</f>
        <v>206.283333333333</v>
      </c>
      <c r="Q270" s="10" cm="1">
        <f t="array" ref="Q270">SLOPE(M270:O270,M$1:O$1)</f>
        <v>4.794</v>
      </c>
      <c r="R270" s="11">
        <f t="shared" si="28"/>
        <v>40.9056491908084</v>
      </c>
      <c r="S270" s="11">
        <f t="shared" si="29"/>
        <v>47.1069656031794</v>
      </c>
    </row>
    <row r="271" spans="1:19">
      <c r="A271" s="5">
        <v>270</v>
      </c>
      <c r="B271" s="3">
        <v>54685640556</v>
      </c>
      <c r="C271" s="7">
        <v>0.25</v>
      </c>
      <c r="D271" s="6">
        <v>382799483892</v>
      </c>
      <c r="E271" s="7">
        <v>0.25</v>
      </c>
      <c r="F271" s="6">
        <v>6870291</v>
      </c>
      <c r="G271" s="8">
        <v>58</v>
      </c>
      <c r="H271" s="3">
        <v>25495202</v>
      </c>
      <c r="J271">
        <v>158.92</v>
      </c>
      <c r="K271">
        <v>23.9</v>
      </c>
      <c r="L271">
        <v>6.8</v>
      </c>
      <c r="M271">
        <v>352.9</v>
      </c>
      <c r="N271">
        <v>411.01</v>
      </c>
      <c r="O271">
        <v>491.34</v>
      </c>
      <c r="P271" s="10" cm="1">
        <f t="array" ref="P271">INTERCEPT(M271:O271,M$1:O$1)</f>
        <v>210.756666666667</v>
      </c>
      <c r="Q271" s="10" cm="1">
        <f t="array" ref="Q271">SLOPE(M271:O271,M$1:O$1)</f>
        <v>13.844</v>
      </c>
      <c r="R271" s="11">
        <f t="shared" si="28"/>
        <v>59.9130284098514</v>
      </c>
      <c r="S271" s="11">
        <f t="shared" si="29"/>
        <v>28.3217790380227</v>
      </c>
    </row>
    <row r="272" spans="1:19">
      <c r="A272" s="5">
        <v>271</v>
      </c>
      <c r="B272" s="3">
        <v>50401909428</v>
      </c>
      <c r="C272" s="7">
        <v>0.25</v>
      </c>
      <c r="D272" s="6">
        <v>352813365996</v>
      </c>
      <c r="E272" s="7">
        <v>0.25</v>
      </c>
      <c r="F272" s="6">
        <v>11816545</v>
      </c>
      <c r="G272" s="8">
        <v>33</v>
      </c>
      <c r="H272" s="3">
        <v>16549828</v>
      </c>
      <c r="J272">
        <v>63</v>
      </c>
      <c r="K272">
        <v>23.6</v>
      </c>
      <c r="L272">
        <v>6.69</v>
      </c>
      <c r="M272">
        <v>105.4</v>
      </c>
      <c r="N272">
        <v>122.17</v>
      </c>
      <c r="O272">
        <v>138.81</v>
      </c>
      <c r="P272" s="10" cm="1">
        <f t="array" ref="P272">INTERCEPT(M272:O272,M$1:O$1)</f>
        <v>72.0116666666667</v>
      </c>
      <c r="Q272" s="10" cm="1">
        <f t="array" ref="Q272">SLOPE(M272:O272,M$1:O$1)</f>
        <v>3.341</v>
      </c>
      <c r="R272" s="11">
        <f t="shared" ref="R272:R291" si="30">ASIN((Q272-1)/(Q272+1))/3.1415926*180</f>
        <v>32.6344123780292</v>
      </c>
      <c r="S272" s="11">
        <f t="shared" ref="S272:S291" si="31">P272*(1-SIN(R272/180*3.1415926))/2/COS(R272/180*3.1415926)</f>
        <v>19.6985667773634</v>
      </c>
    </row>
    <row r="273" spans="1:19">
      <c r="A273" s="5">
        <v>272</v>
      </c>
      <c r="B273" s="3">
        <v>21395499830</v>
      </c>
      <c r="C273" s="7">
        <v>0.25</v>
      </c>
      <c r="D273" s="6">
        <v>149768498810</v>
      </c>
      <c r="E273" s="7">
        <v>0.25</v>
      </c>
      <c r="F273" s="6">
        <v>32980363</v>
      </c>
      <c r="G273" s="8">
        <v>11</v>
      </c>
      <c r="H273" s="3">
        <v>21364093</v>
      </c>
      <c r="J273">
        <v>96.59</v>
      </c>
      <c r="K273">
        <v>9.76</v>
      </c>
      <c r="L273">
        <v>7.73</v>
      </c>
      <c r="M273">
        <v>107.33</v>
      </c>
      <c r="N273">
        <v>112.06</v>
      </c>
      <c r="O273">
        <v>117.59</v>
      </c>
      <c r="P273" s="10" cm="1">
        <f t="array" ref="P273">INTERCEPT(M273:O273,M$1:O$1)</f>
        <v>96.9366666666667</v>
      </c>
      <c r="Q273" s="10" cm="1">
        <f t="array" ref="Q273">SLOPE(M273:O273,M$1:O$1)</f>
        <v>1.026</v>
      </c>
      <c r="R273" s="11">
        <f t="shared" si="30"/>
        <v>0.735306606788223</v>
      </c>
      <c r="S273" s="11">
        <f t="shared" si="31"/>
        <v>47.8502714280893</v>
      </c>
    </row>
    <row r="274" spans="1:19">
      <c r="A274" s="5">
        <v>273</v>
      </c>
      <c r="B274" s="3">
        <v>14185101726</v>
      </c>
      <c r="C274" s="7">
        <v>0.25</v>
      </c>
      <c r="D274" s="6">
        <v>99295712082</v>
      </c>
      <c r="E274" s="7">
        <v>0.25</v>
      </c>
      <c r="F274" s="6">
        <v>25001589</v>
      </c>
      <c r="G274" s="8">
        <v>16</v>
      </c>
      <c r="H274" s="3">
        <v>17691838</v>
      </c>
      <c r="J274">
        <v>78.87</v>
      </c>
      <c r="K274">
        <v>6.48</v>
      </c>
      <c r="L274">
        <v>7.34</v>
      </c>
      <c r="M274">
        <v>93.53</v>
      </c>
      <c r="N274">
        <v>100.17</v>
      </c>
      <c r="O274">
        <v>105.11</v>
      </c>
      <c r="P274" s="10" cm="1">
        <f t="array" ref="P274">INTERCEPT(M274:O274,M$1:O$1)</f>
        <v>82.2333333333333</v>
      </c>
      <c r="Q274" s="10" cm="1">
        <f t="array" ref="Q274">SLOPE(M274:O274,M$1:O$1)</f>
        <v>1.158</v>
      </c>
      <c r="R274" s="11">
        <f t="shared" si="30"/>
        <v>4.19872143868662</v>
      </c>
      <c r="S274" s="11">
        <f t="shared" si="31"/>
        <v>38.2088194543007</v>
      </c>
    </row>
    <row r="275" spans="1:19">
      <c r="A275" s="5">
        <v>274</v>
      </c>
      <c r="B275" s="3">
        <v>73404069969</v>
      </c>
      <c r="C275" s="7">
        <v>0.25</v>
      </c>
      <c r="D275" s="6">
        <v>513828489783</v>
      </c>
      <c r="E275" s="7">
        <v>0.25</v>
      </c>
      <c r="F275" s="6">
        <v>7806229</v>
      </c>
      <c r="G275" s="8">
        <v>35</v>
      </c>
      <c r="H275" s="3">
        <v>9403226</v>
      </c>
      <c r="J275">
        <v>42.14</v>
      </c>
      <c r="K275">
        <v>33</v>
      </c>
      <c r="L275">
        <v>3.99</v>
      </c>
      <c r="M275">
        <v>96.32</v>
      </c>
      <c r="N275">
        <v>118.07</v>
      </c>
      <c r="O275">
        <v>140.74</v>
      </c>
      <c r="P275" s="10" cm="1">
        <f t="array" ref="P275">INTERCEPT(M275:O275,M$1:O$1)</f>
        <v>51.7466666666666</v>
      </c>
      <c r="Q275" s="10" cm="1">
        <f t="array" ref="Q275">SLOPE(M275:O275,M$1:O$1)</f>
        <v>4.442</v>
      </c>
      <c r="R275" s="11">
        <f t="shared" si="30"/>
        <v>39.2339269339555</v>
      </c>
      <c r="S275" s="11">
        <f t="shared" si="31"/>
        <v>12.2761760118373</v>
      </c>
    </row>
    <row r="276" spans="1:19">
      <c r="A276" s="5">
        <v>275</v>
      </c>
      <c r="B276" s="3">
        <v>31570922906</v>
      </c>
      <c r="C276" s="7">
        <v>0.25</v>
      </c>
      <c r="D276" s="6">
        <v>220996460342</v>
      </c>
      <c r="E276" s="7">
        <v>0.25</v>
      </c>
      <c r="F276" s="6">
        <v>1119316</v>
      </c>
      <c r="G276" s="8">
        <v>47</v>
      </c>
      <c r="H276" s="3">
        <v>17716816</v>
      </c>
      <c r="P276" s="10"/>
      <c r="Q276" s="10"/>
      <c r="R276" s="11"/>
      <c r="S276" s="11"/>
    </row>
    <row r="277" spans="1:19">
      <c r="A277" s="5">
        <v>276</v>
      </c>
      <c r="B277" s="3">
        <v>59325449595</v>
      </c>
      <c r="C277" s="7">
        <v>0.25</v>
      </c>
      <c r="D277" s="6">
        <v>415278147165</v>
      </c>
      <c r="E277" s="7">
        <v>0.25</v>
      </c>
      <c r="F277" s="6">
        <v>7745539</v>
      </c>
      <c r="G277" s="8">
        <v>46</v>
      </c>
      <c r="H277" s="3">
        <v>1543599</v>
      </c>
      <c r="J277">
        <v>61</v>
      </c>
      <c r="K277">
        <v>27.92</v>
      </c>
      <c r="L277">
        <v>4.88</v>
      </c>
      <c r="M277">
        <v>158.84</v>
      </c>
      <c r="N277">
        <v>194.72</v>
      </c>
      <c r="O277">
        <v>229.66</v>
      </c>
      <c r="P277" s="10" cm="1">
        <f t="array" ref="P277">INTERCEPT(M277:O277,M$1:O$1)</f>
        <v>88.1766666666667</v>
      </c>
      <c r="Q277" s="10" cm="1">
        <f t="array" ref="Q277">SLOPE(M277:O277,M$1:O$1)</f>
        <v>7.082</v>
      </c>
      <c r="R277" s="11">
        <f t="shared" si="30"/>
        <v>48.8105785659118</v>
      </c>
      <c r="S277" s="11">
        <f t="shared" si="31"/>
        <v>16.5670704991531</v>
      </c>
    </row>
    <row r="278" spans="1:19">
      <c r="A278" s="5">
        <v>277</v>
      </c>
      <c r="B278" s="3">
        <v>60657164663</v>
      </c>
      <c r="C278" s="7">
        <v>0.25</v>
      </c>
      <c r="D278" s="6">
        <v>424600152641</v>
      </c>
      <c r="E278" s="7">
        <v>0.25</v>
      </c>
      <c r="F278" s="6">
        <v>33363264</v>
      </c>
      <c r="G278" s="8">
        <v>31</v>
      </c>
      <c r="H278" s="3">
        <v>3397615</v>
      </c>
      <c r="J278">
        <v>131.41</v>
      </c>
      <c r="K278">
        <v>27.48</v>
      </c>
      <c r="L278">
        <v>1.94</v>
      </c>
      <c r="M278">
        <v>179.68</v>
      </c>
      <c r="N278">
        <v>198.23</v>
      </c>
      <c r="O278">
        <v>215.63</v>
      </c>
      <c r="P278" s="10" cm="1">
        <f t="array" ref="P278">INTERCEPT(M278:O278,M$1:O$1)</f>
        <v>143.921666666667</v>
      </c>
      <c r="Q278" s="10" cm="1">
        <f t="array" ref="Q278">SLOPE(M278:O278,M$1:O$1)</f>
        <v>3.595</v>
      </c>
      <c r="R278" s="11">
        <f t="shared" si="30"/>
        <v>34.3845366328318</v>
      </c>
      <c r="S278" s="11">
        <f t="shared" si="31"/>
        <v>37.9530547220344</v>
      </c>
    </row>
    <row r="279" spans="1:19">
      <c r="A279" s="5">
        <v>278</v>
      </c>
      <c r="B279" s="3">
        <v>47717398494</v>
      </c>
      <c r="C279" s="7">
        <v>0.25</v>
      </c>
      <c r="D279" s="6">
        <v>334021789458</v>
      </c>
      <c r="E279" s="7">
        <v>0.25</v>
      </c>
      <c r="F279" s="6">
        <v>22663987</v>
      </c>
      <c r="G279" s="8">
        <v>19</v>
      </c>
      <c r="H279" s="3">
        <v>19101562</v>
      </c>
      <c r="J279">
        <v>77.74</v>
      </c>
      <c r="K279">
        <v>22</v>
      </c>
      <c r="L279">
        <v>7.72</v>
      </c>
      <c r="M279">
        <v>100.19</v>
      </c>
      <c r="N279">
        <v>107.71</v>
      </c>
      <c r="O279">
        <v>113.82</v>
      </c>
      <c r="P279" s="10" cm="1">
        <f t="array" ref="P279">INTERCEPT(M279:O279,M$1:O$1)</f>
        <v>86.795</v>
      </c>
      <c r="Q279" s="10" cm="1">
        <f t="array" ref="Q279">SLOPE(M279:O279,M$1:O$1)</f>
        <v>1.363</v>
      </c>
      <c r="R279" s="11">
        <f t="shared" si="30"/>
        <v>8.83667007420785</v>
      </c>
      <c r="S279" s="11">
        <f t="shared" si="31"/>
        <v>37.1720732180682</v>
      </c>
    </row>
    <row r="280" spans="1:19">
      <c r="A280" s="5">
        <v>279</v>
      </c>
      <c r="B280" s="3">
        <v>59827876313</v>
      </c>
      <c r="C280" s="7">
        <v>0.25</v>
      </c>
      <c r="D280" s="6">
        <v>418795134191</v>
      </c>
      <c r="E280" s="7">
        <v>0.25</v>
      </c>
      <c r="F280" s="6">
        <v>36726057</v>
      </c>
      <c r="G280" s="8">
        <v>57</v>
      </c>
      <c r="H280" s="3">
        <v>10774491</v>
      </c>
      <c r="J280">
        <v>318.43</v>
      </c>
      <c r="K280">
        <v>26.56</v>
      </c>
      <c r="L280">
        <v>6.12</v>
      </c>
      <c r="M280">
        <v>468.09</v>
      </c>
      <c r="N280">
        <v>557.9</v>
      </c>
      <c r="O280">
        <v>621.63</v>
      </c>
      <c r="P280" s="10" cm="1">
        <f t="array" ref="P280">INTERCEPT(M280:O280,M$1:O$1)</f>
        <v>318.896666666667</v>
      </c>
      <c r="Q280" s="10" cm="1">
        <f t="array" ref="Q280">SLOPE(M280:O280,M$1:O$1)</f>
        <v>15.354</v>
      </c>
      <c r="R280" s="11">
        <f t="shared" si="30"/>
        <v>61.3668380737322</v>
      </c>
      <c r="S280" s="11">
        <f t="shared" si="31"/>
        <v>40.6920168737393</v>
      </c>
    </row>
    <row r="281" spans="1:19">
      <c r="A281" s="5">
        <v>280</v>
      </c>
      <c r="B281" s="3">
        <v>77486410528</v>
      </c>
      <c r="C281" s="7">
        <v>0.25</v>
      </c>
      <c r="D281" s="6">
        <v>542404873696</v>
      </c>
      <c r="E281" s="7">
        <v>0.25</v>
      </c>
      <c r="F281" s="6">
        <v>18219419</v>
      </c>
      <c r="G281" s="8">
        <v>15</v>
      </c>
      <c r="H281" s="3">
        <v>15285765</v>
      </c>
      <c r="J281" s="15">
        <v>57.12</v>
      </c>
      <c r="K281" s="15">
        <v>36.69</v>
      </c>
      <c r="L281">
        <v>3.85</v>
      </c>
      <c r="M281">
        <v>75.87</v>
      </c>
      <c r="N281">
        <v>83.24</v>
      </c>
      <c r="O281">
        <v>88.15</v>
      </c>
      <c r="P281" s="10" cm="1">
        <f t="array" ref="P281">INTERCEPT(M281:O281,M$1:O$1)</f>
        <v>64</v>
      </c>
      <c r="Q281" s="10" cm="1">
        <f t="array" ref="Q281">SLOPE(M281:O281,M$1:O$1)</f>
        <v>1.228</v>
      </c>
      <c r="R281" s="11">
        <f t="shared" si="30"/>
        <v>5.87358466627645</v>
      </c>
      <c r="S281" s="11">
        <f t="shared" si="31"/>
        <v>28.8769150273773</v>
      </c>
    </row>
    <row r="282" spans="1:19">
      <c r="A282" s="5">
        <v>281</v>
      </c>
      <c r="B282" s="3">
        <v>78349915155</v>
      </c>
      <c r="C282" s="7">
        <v>0.25</v>
      </c>
      <c r="D282" s="6">
        <v>548449406085</v>
      </c>
      <c r="E282" s="7">
        <v>0.25</v>
      </c>
      <c r="F282" s="6">
        <v>22319009</v>
      </c>
      <c r="G282" s="8">
        <v>34</v>
      </c>
      <c r="H282" s="3">
        <v>22655359</v>
      </c>
      <c r="J282">
        <v>116.42</v>
      </c>
      <c r="K282">
        <v>36</v>
      </c>
      <c r="L282">
        <v>10.72</v>
      </c>
      <c r="M282">
        <v>165.3</v>
      </c>
      <c r="N282">
        <v>184.82</v>
      </c>
      <c r="O282">
        <v>202.35</v>
      </c>
      <c r="P282" s="10" cm="1">
        <f t="array" ref="P282">INTERCEPT(M282:O282,M$1:O$1)</f>
        <v>128.581666666667</v>
      </c>
      <c r="Q282" s="10" cm="1">
        <f t="array" ref="Q282">SLOPE(M282:O282,M$1:O$1)</f>
        <v>3.705</v>
      </c>
      <c r="R282" s="11">
        <f t="shared" si="30"/>
        <v>35.0940513745676</v>
      </c>
      <c r="S282" s="11">
        <f t="shared" si="31"/>
        <v>33.4006523354821</v>
      </c>
    </row>
    <row r="283" spans="1:19">
      <c r="A283" s="5">
        <v>282</v>
      </c>
      <c r="B283" s="3">
        <v>17851933079</v>
      </c>
      <c r="C283" s="7">
        <v>0.25</v>
      </c>
      <c r="D283" s="6">
        <v>124963531553</v>
      </c>
      <c r="E283" s="7">
        <v>0.25</v>
      </c>
      <c r="F283" s="6">
        <v>2885908</v>
      </c>
      <c r="G283" s="8">
        <v>42</v>
      </c>
      <c r="H283" s="3">
        <v>29449173</v>
      </c>
      <c r="J283">
        <v>36.37</v>
      </c>
      <c r="K283">
        <v>7</v>
      </c>
      <c r="L283">
        <v>2.83</v>
      </c>
      <c r="M283">
        <v>86.7</v>
      </c>
      <c r="N283">
        <v>110.72</v>
      </c>
      <c r="O283">
        <v>132.25</v>
      </c>
      <c r="P283" s="10" cm="1">
        <f t="array" ref="P283">INTERCEPT(M283:O283,M$1:O$1)</f>
        <v>41.565</v>
      </c>
      <c r="Q283" s="10" cm="1">
        <f t="array" ref="Q283">SLOPE(M283:O283,M$1:O$1)</f>
        <v>4.555</v>
      </c>
      <c r="R283" s="11">
        <f t="shared" si="30"/>
        <v>39.7891355329754</v>
      </c>
      <c r="S283" s="11">
        <f t="shared" si="31"/>
        <v>9.73763739583116</v>
      </c>
    </row>
    <row r="284" spans="1:19">
      <c r="A284" s="5">
        <v>283</v>
      </c>
      <c r="B284" s="3">
        <v>67438385154</v>
      </c>
      <c r="C284" s="7">
        <v>0.25</v>
      </c>
      <c r="D284" s="6">
        <v>472068696078</v>
      </c>
      <c r="E284" s="7">
        <v>0.25</v>
      </c>
      <c r="F284" s="6">
        <v>18136576</v>
      </c>
      <c r="G284" s="8">
        <v>23</v>
      </c>
      <c r="H284" s="3">
        <v>6518476</v>
      </c>
      <c r="J284">
        <v>63.8</v>
      </c>
      <c r="K284">
        <v>31.77</v>
      </c>
      <c r="L284">
        <v>3.04</v>
      </c>
      <c r="M284">
        <v>92.28</v>
      </c>
      <c r="N284">
        <v>104.62</v>
      </c>
      <c r="O284">
        <v>114.52</v>
      </c>
      <c r="P284" s="10" cm="1">
        <f t="array" ref="P284">INTERCEPT(M284:O284,M$1:O$1)</f>
        <v>70.4466666666667</v>
      </c>
      <c r="Q284" s="10" cm="1">
        <f t="array" ref="Q284">SLOPE(M284:O284,M$1:O$1)</f>
        <v>2.224</v>
      </c>
      <c r="R284" s="11">
        <f t="shared" si="30"/>
        <v>22.3121662849072</v>
      </c>
      <c r="S284" s="11">
        <f t="shared" si="31"/>
        <v>23.6190845731823</v>
      </c>
    </row>
    <row r="285" spans="1:19">
      <c r="A285" s="5">
        <v>284</v>
      </c>
      <c r="B285" s="3">
        <v>36214141365</v>
      </c>
      <c r="C285" s="7">
        <v>0.25</v>
      </c>
      <c r="D285" s="6">
        <v>253498989555</v>
      </c>
      <c r="E285" s="7">
        <v>0.25</v>
      </c>
      <c r="F285" s="6">
        <v>1192498</v>
      </c>
      <c r="G285" s="8">
        <v>14</v>
      </c>
      <c r="H285" s="3">
        <v>11853537</v>
      </c>
      <c r="P285" s="10"/>
      <c r="Q285" s="10"/>
      <c r="R285" s="11"/>
      <c r="S285" s="11"/>
    </row>
    <row r="286" spans="1:19">
      <c r="A286" s="5">
        <v>285</v>
      </c>
      <c r="B286" s="3">
        <v>79555705249</v>
      </c>
      <c r="C286" s="7">
        <v>0.25</v>
      </c>
      <c r="D286" s="6">
        <v>556889936743</v>
      </c>
      <c r="E286" s="7">
        <v>0.25</v>
      </c>
      <c r="F286" s="6">
        <v>40150956</v>
      </c>
      <c r="G286" s="8">
        <v>44</v>
      </c>
      <c r="H286" s="3">
        <v>10925900</v>
      </c>
      <c r="J286">
        <v>238.87</v>
      </c>
      <c r="K286">
        <v>35.6</v>
      </c>
      <c r="L286">
        <v>6.28</v>
      </c>
      <c r="M286">
        <v>319.64</v>
      </c>
      <c r="O286">
        <v>383.48</v>
      </c>
      <c r="P286" s="10" cm="1">
        <f t="array" ref="P286">INTERCEPT(M286:O286,M$1:O$1)</f>
        <v>255.8</v>
      </c>
      <c r="Q286" s="10" cm="1">
        <f t="array" ref="Q286">SLOPE(M286:O286,M$1:O$1)</f>
        <v>6.384</v>
      </c>
      <c r="R286" s="11">
        <f t="shared" si="30"/>
        <v>46.8146892601265</v>
      </c>
      <c r="S286" s="11">
        <f t="shared" si="31"/>
        <v>50.6202289747254</v>
      </c>
    </row>
    <row r="287" spans="1:19">
      <c r="A287" s="5">
        <v>286</v>
      </c>
      <c r="B287" s="3">
        <v>47026342778</v>
      </c>
      <c r="C287" s="7">
        <v>0.25</v>
      </c>
      <c r="D287" s="6">
        <v>329184399446</v>
      </c>
      <c r="E287" s="7">
        <v>0.25</v>
      </c>
      <c r="F287" s="6">
        <v>33195522</v>
      </c>
      <c r="G287" s="8">
        <v>23</v>
      </c>
      <c r="H287" s="3">
        <v>16581823</v>
      </c>
      <c r="J287">
        <v>119.13</v>
      </c>
      <c r="K287">
        <v>21.3</v>
      </c>
      <c r="L287">
        <v>8.52</v>
      </c>
      <c r="M287">
        <v>147.67</v>
      </c>
      <c r="N287">
        <v>158.42</v>
      </c>
      <c r="O287">
        <v>167.19</v>
      </c>
      <c r="P287" s="10" cm="1">
        <f t="array" ref="P287">INTERCEPT(M287:O287,M$1:O$1)</f>
        <v>128.48</v>
      </c>
      <c r="Q287" s="10" cm="1">
        <f t="array" ref="Q287">SLOPE(M287:O287,M$1:O$1)</f>
        <v>1.952</v>
      </c>
      <c r="R287" s="11">
        <f t="shared" si="30"/>
        <v>18.813772079575</v>
      </c>
      <c r="S287" s="11">
        <f t="shared" si="31"/>
        <v>45.9796462454036</v>
      </c>
    </row>
    <row r="288" spans="1:19">
      <c r="A288" s="5">
        <v>287</v>
      </c>
      <c r="B288" s="3">
        <v>68912818298</v>
      </c>
      <c r="C288" s="7">
        <v>0.25</v>
      </c>
      <c r="D288" s="6">
        <v>482389728086</v>
      </c>
      <c r="E288" s="7">
        <v>0.25</v>
      </c>
      <c r="F288" s="6">
        <v>40710736</v>
      </c>
      <c r="G288" s="8">
        <v>24</v>
      </c>
      <c r="H288" s="3">
        <v>27776036</v>
      </c>
      <c r="J288">
        <v>151.89</v>
      </c>
      <c r="K288">
        <v>31.3</v>
      </c>
      <c r="L288">
        <v>12.65</v>
      </c>
      <c r="M288">
        <v>181.06</v>
      </c>
      <c r="N288">
        <v>195.88</v>
      </c>
      <c r="O288">
        <v>205.95</v>
      </c>
      <c r="P288" s="10" cm="1">
        <f t="array" ref="P288">INTERCEPT(M288:O288,M$1:O$1)</f>
        <v>156.961666666667</v>
      </c>
      <c r="Q288" s="10" cm="1">
        <f t="array" ref="Q288">SLOPE(M288:O288,M$1:O$1)</f>
        <v>2.489</v>
      </c>
      <c r="R288" s="11">
        <f t="shared" si="30"/>
        <v>25.2627409798244</v>
      </c>
      <c r="S288" s="11">
        <f t="shared" si="31"/>
        <v>49.7451972832542</v>
      </c>
    </row>
    <row r="289" spans="1:19">
      <c r="A289" s="5">
        <v>288</v>
      </c>
      <c r="B289" s="3">
        <v>66581419094</v>
      </c>
      <c r="C289" s="7">
        <v>0.25</v>
      </c>
      <c r="D289" s="6">
        <v>466069933658</v>
      </c>
      <c r="E289" s="7">
        <v>0.25</v>
      </c>
      <c r="F289" s="6">
        <v>45386976</v>
      </c>
      <c r="G289" s="8">
        <v>16</v>
      </c>
      <c r="H289" s="3">
        <v>25067214</v>
      </c>
      <c r="J289">
        <v>140.19</v>
      </c>
      <c r="K289">
        <v>30.5</v>
      </c>
      <c r="L289">
        <v>11.59</v>
      </c>
      <c r="M289">
        <v>158.4</v>
      </c>
      <c r="N289">
        <v>171.34</v>
      </c>
      <c r="O289">
        <v>175.93</v>
      </c>
      <c r="P289" s="10" cm="1">
        <f t="array" ref="P289">INTERCEPT(M289:O289,M$1:O$1)</f>
        <v>142.261666666667</v>
      </c>
      <c r="Q289" s="10" cm="1">
        <f t="array" ref="Q289">SLOPE(M289:O289,M$1:O$1)</f>
        <v>1.753</v>
      </c>
      <c r="R289" s="11">
        <f t="shared" si="30"/>
        <v>15.8738233824962</v>
      </c>
      <c r="S289" s="11">
        <f t="shared" si="31"/>
        <v>53.7238265952419</v>
      </c>
    </row>
    <row r="290" spans="1:19">
      <c r="A290" s="5">
        <v>289</v>
      </c>
      <c r="B290" s="3">
        <v>7716298340</v>
      </c>
      <c r="C290" s="7">
        <v>0.25</v>
      </c>
      <c r="D290" s="6">
        <v>54014088380</v>
      </c>
      <c r="E290" s="7">
        <v>0.25</v>
      </c>
      <c r="F290" s="6">
        <v>47155190</v>
      </c>
      <c r="G290" s="8">
        <v>18</v>
      </c>
      <c r="H290" s="3">
        <v>29877000</v>
      </c>
      <c r="P290" s="10"/>
      <c r="Q290" s="10"/>
      <c r="R290" s="11"/>
      <c r="S290" s="11"/>
    </row>
    <row r="291" spans="1:19">
      <c r="A291" s="5">
        <v>290</v>
      </c>
      <c r="B291" s="3">
        <v>31801934248</v>
      </c>
      <c r="C291" s="7">
        <v>0.25</v>
      </c>
      <c r="D291" s="6">
        <v>222613539736</v>
      </c>
      <c r="E291" s="7">
        <v>0.25</v>
      </c>
      <c r="F291" s="6">
        <v>35728333</v>
      </c>
      <c r="G291" s="8">
        <v>33</v>
      </c>
      <c r="H291" s="3">
        <v>19323878</v>
      </c>
      <c r="J291">
        <v>162.52</v>
      </c>
      <c r="K291">
        <v>14.4</v>
      </c>
      <c r="L291">
        <v>10.12</v>
      </c>
      <c r="M291">
        <v>198.03</v>
      </c>
      <c r="N291">
        <v>211.27</v>
      </c>
      <c r="O291">
        <v>224.41</v>
      </c>
      <c r="P291" s="10" cm="1">
        <f t="array" ref="P291">INTERCEPT(M291:O291,M$1:O$1)</f>
        <v>171.666666666667</v>
      </c>
      <c r="Q291" s="10" cm="1">
        <f t="array" ref="Q291">SLOPE(M291:O291,M$1:O$1)</f>
        <v>2.638</v>
      </c>
      <c r="R291" s="11">
        <f t="shared" si="30"/>
        <v>26.7595577140989</v>
      </c>
      <c r="S291" s="11">
        <f t="shared" si="31"/>
        <v>52.846786393421</v>
      </c>
    </row>
    <row r="292" spans="1:19">
      <c r="A292" s="5">
        <v>291</v>
      </c>
      <c r="B292" s="3">
        <v>51929582210</v>
      </c>
      <c r="C292" s="7">
        <v>0.25</v>
      </c>
      <c r="D292" s="6">
        <v>363507075470</v>
      </c>
      <c r="E292" s="7">
        <v>0.25</v>
      </c>
      <c r="F292" s="6">
        <v>23384733</v>
      </c>
      <c r="G292" s="8">
        <v>23</v>
      </c>
      <c r="H292" s="3">
        <v>5531790</v>
      </c>
      <c r="J292">
        <v>80.15</v>
      </c>
      <c r="K292">
        <v>24</v>
      </c>
      <c r="L292">
        <v>3.19</v>
      </c>
      <c r="M292">
        <v>108.45</v>
      </c>
      <c r="N292">
        <v>120.93</v>
      </c>
      <c r="O292">
        <v>130.44</v>
      </c>
      <c r="P292" s="10" cm="1">
        <f t="array" ref="P292">INTERCEPT(M292:O292,M$1:O$1)</f>
        <v>86.955</v>
      </c>
      <c r="Q292" s="10" cm="1">
        <f t="array" ref="Q292">SLOPE(M292:O292,M$1:O$1)</f>
        <v>2.199</v>
      </c>
      <c r="R292" s="11">
        <f t="shared" ref="R292:R301" si="32">ASIN((Q292-1)/(Q292+1))/3.1415926*180</f>
        <v>22.0122384515223</v>
      </c>
      <c r="S292" s="11">
        <f t="shared" ref="S292:S301" si="33">P292*(1-SIN(R292/180*3.1415926))/2/COS(R292/180*3.1415926)</f>
        <v>29.3191887296122</v>
      </c>
    </row>
    <row r="293" spans="1:19">
      <c r="A293" s="5">
        <v>292</v>
      </c>
      <c r="B293" s="3">
        <v>56796320202</v>
      </c>
      <c r="C293" s="7">
        <v>0.25</v>
      </c>
      <c r="D293" s="6">
        <v>397574241414</v>
      </c>
      <c r="E293" s="7">
        <v>0.25</v>
      </c>
      <c r="F293" s="6">
        <v>35848464</v>
      </c>
      <c r="G293" s="8">
        <v>18</v>
      </c>
      <c r="H293" s="3">
        <v>17268892</v>
      </c>
      <c r="J293">
        <v>114.61</v>
      </c>
      <c r="K293">
        <v>26</v>
      </c>
      <c r="L293">
        <v>8.45</v>
      </c>
      <c r="M293">
        <v>133.63</v>
      </c>
      <c r="N293">
        <v>145.25</v>
      </c>
      <c r="O293">
        <v>153.48</v>
      </c>
      <c r="P293" s="10" cm="1">
        <f t="array" ref="P293">INTERCEPT(M293:O293,M$1:O$1)</f>
        <v>114.345</v>
      </c>
      <c r="Q293" s="10" cm="1">
        <f t="array" ref="Q293">SLOPE(M293:O293,M$1:O$1)</f>
        <v>1.985</v>
      </c>
      <c r="R293" s="11">
        <f t="shared" si="32"/>
        <v>19.2677591414386</v>
      </c>
      <c r="S293" s="11">
        <f t="shared" si="33"/>
        <v>40.5795220548679</v>
      </c>
    </row>
    <row r="294" spans="1:19">
      <c r="A294" s="5">
        <v>293</v>
      </c>
      <c r="B294" s="3">
        <v>36262932029</v>
      </c>
      <c r="C294" s="7">
        <v>0.25</v>
      </c>
      <c r="D294" s="6">
        <v>253840524203</v>
      </c>
      <c r="E294" s="7">
        <v>0.25</v>
      </c>
      <c r="F294" s="6">
        <v>6557517</v>
      </c>
      <c r="G294" s="8">
        <v>12</v>
      </c>
      <c r="H294" s="3">
        <v>27476789</v>
      </c>
      <c r="J294">
        <v>25.66</v>
      </c>
      <c r="K294">
        <v>15</v>
      </c>
      <c r="L294">
        <v>3.2</v>
      </c>
      <c r="M294">
        <v>37.43</v>
      </c>
      <c r="N294">
        <v>42.26</v>
      </c>
      <c r="O294">
        <v>48.28</v>
      </c>
      <c r="P294" s="10" cm="1">
        <f t="array" ref="P294">INTERCEPT(M294:O294,M$1:O$1)</f>
        <v>26.3816666666667</v>
      </c>
      <c r="Q294" s="10" cm="1">
        <f t="array" ref="Q294">SLOPE(M294:O294,M$1:O$1)</f>
        <v>1.085</v>
      </c>
      <c r="R294" s="11">
        <f t="shared" si="32"/>
        <v>2.33644669752102</v>
      </c>
      <c r="S294" s="11">
        <f t="shared" si="33"/>
        <v>12.6636052418517</v>
      </c>
    </row>
    <row r="295" spans="1:19">
      <c r="A295" s="5">
        <v>294</v>
      </c>
      <c r="B295" s="3">
        <v>57521969285</v>
      </c>
      <c r="C295" s="7">
        <v>0.25</v>
      </c>
      <c r="D295" s="6">
        <v>402653784995</v>
      </c>
      <c r="E295" s="7">
        <v>0.25</v>
      </c>
      <c r="F295" s="6">
        <v>34954858</v>
      </c>
      <c r="G295" s="8">
        <v>19</v>
      </c>
      <c r="H295" s="3">
        <v>8054690</v>
      </c>
      <c r="J295">
        <v>109.07</v>
      </c>
      <c r="K295">
        <v>26.3</v>
      </c>
      <c r="L295">
        <v>4.82</v>
      </c>
      <c r="M295">
        <v>131.64</v>
      </c>
      <c r="N295">
        <v>141.08</v>
      </c>
      <c r="O295">
        <v>153.1</v>
      </c>
      <c r="P295" s="10" cm="1">
        <f t="array" ref="P295">INTERCEPT(M295:O295,M$1:O$1)</f>
        <v>109.75</v>
      </c>
      <c r="Q295" s="10" cm="1">
        <f t="array" ref="Q295">SLOPE(M295:O295,M$1:O$1)</f>
        <v>2.146</v>
      </c>
      <c r="R295" s="11">
        <f t="shared" si="32"/>
        <v>21.3627932080573</v>
      </c>
      <c r="S295" s="11">
        <f t="shared" si="33"/>
        <v>37.4593014627398</v>
      </c>
    </row>
    <row r="296" spans="1:19">
      <c r="A296" s="5">
        <v>295</v>
      </c>
      <c r="B296" s="3">
        <v>48726548818</v>
      </c>
      <c r="C296" s="7">
        <v>0.25</v>
      </c>
      <c r="D296" s="6">
        <v>341085841726</v>
      </c>
      <c r="E296" s="7">
        <v>0.25</v>
      </c>
      <c r="F296" s="6">
        <v>1896263</v>
      </c>
      <c r="G296" s="8">
        <v>19</v>
      </c>
      <c r="H296" s="3">
        <v>24514470</v>
      </c>
      <c r="J296">
        <v>13.38</v>
      </c>
      <c r="K296">
        <v>21.7</v>
      </c>
      <c r="L296">
        <v>1.18</v>
      </c>
      <c r="M296">
        <v>28.81</v>
      </c>
      <c r="N296">
        <v>34.48</v>
      </c>
      <c r="O296">
        <v>43.83</v>
      </c>
      <c r="P296" s="10" cm="1">
        <f t="array" ref="P296">INTERCEPT(M296:O296,M$1:O$1)</f>
        <v>13.1766666666667</v>
      </c>
      <c r="Q296" s="10" cm="1">
        <f t="array" ref="Q296">SLOPE(M296:O296,M$1:O$1)</f>
        <v>1.502</v>
      </c>
      <c r="R296" s="11">
        <f t="shared" si="32"/>
        <v>11.5743572543181</v>
      </c>
      <c r="S296" s="11">
        <f t="shared" si="33"/>
        <v>5.37576898850608</v>
      </c>
    </row>
    <row r="297" spans="1:19">
      <c r="A297" s="5">
        <v>296</v>
      </c>
      <c r="B297" s="3">
        <v>51752123422</v>
      </c>
      <c r="C297" s="7">
        <v>0.25</v>
      </c>
      <c r="D297" s="6">
        <v>362264863954</v>
      </c>
      <c r="E297" s="7">
        <v>0.25</v>
      </c>
      <c r="F297" s="6">
        <v>26716030</v>
      </c>
      <c r="G297" s="8">
        <v>28</v>
      </c>
      <c r="H297" s="3">
        <v>7816401</v>
      </c>
      <c r="J297">
        <v>103.47</v>
      </c>
      <c r="K297">
        <v>23.6</v>
      </c>
      <c r="L297">
        <v>4.45</v>
      </c>
      <c r="M297">
        <v>143.51</v>
      </c>
      <c r="N297">
        <v>155.7</v>
      </c>
      <c r="O297">
        <v>168.86</v>
      </c>
      <c r="P297" s="10" cm="1">
        <f t="array" ref="P297">INTERCEPT(M297:O297,M$1:O$1)</f>
        <v>117.998333333333</v>
      </c>
      <c r="Q297" s="10" cm="1">
        <f t="array" ref="Q297">SLOPE(M297:O297,M$1:O$1)</f>
        <v>2.535</v>
      </c>
      <c r="R297" s="11">
        <f t="shared" si="32"/>
        <v>25.7362532607661</v>
      </c>
      <c r="S297" s="11">
        <f t="shared" si="33"/>
        <v>37.0558598930141</v>
      </c>
    </row>
    <row r="298" spans="1:19">
      <c r="A298" s="5">
        <v>297</v>
      </c>
      <c r="B298" s="3">
        <v>19924720888</v>
      </c>
      <c r="C298" s="7">
        <v>0.25</v>
      </c>
      <c r="D298" s="6">
        <v>139473046216</v>
      </c>
      <c r="E298" s="7">
        <v>0.25</v>
      </c>
      <c r="F298" s="6">
        <v>29591991</v>
      </c>
      <c r="G298" s="8">
        <v>13</v>
      </c>
      <c r="H298" s="3">
        <v>19198417</v>
      </c>
      <c r="J298">
        <v>89.29</v>
      </c>
      <c r="K298">
        <v>9.01</v>
      </c>
      <c r="L298">
        <v>7.38</v>
      </c>
      <c r="M298">
        <v>102.7</v>
      </c>
      <c r="N298">
        <v>106.94</v>
      </c>
      <c r="O298">
        <v>112.83</v>
      </c>
      <c r="P298" s="10" cm="1">
        <f t="array" ref="P298">INTERCEPT(M298:O298,M$1:O$1)</f>
        <v>92.295</v>
      </c>
      <c r="Q298" s="10" cm="1">
        <f t="array" ref="Q298">SLOPE(M298:O298,M$1:O$1)</f>
        <v>1.013</v>
      </c>
      <c r="R298" s="11">
        <f t="shared" si="32"/>
        <v>0.370020031743097</v>
      </c>
      <c r="S298" s="11">
        <f t="shared" si="33"/>
        <v>45.8504345208983</v>
      </c>
    </row>
    <row r="299" spans="1:19">
      <c r="A299" s="5">
        <v>298</v>
      </c>
      <c r="B299" s="3">
        <v>73234756356</v>
      </c>
      <c r="C299" s="7">
        <v>0.25</v>
      </c>
      <c r="D299" s="6">
        <v>512643294492</v>
      </c>
      <c r="E299" s="7">
        <v>0.25</v>
      </c>
      <c r="F299" s="6">
        <v>9631169</v>
      </c>
      <c r="G299" s="8">
        <v>52</v>
      </c>
      <c r="H299" s="3">
        <v>14607320</v>
      </c>
      <c r="J299">
        <v>122.47</v>
      </c>
      <c r="K299">
        <v>32.15</v>
      </c>
      <c r="L299">
        <v>5.75</v>
      </c>
      <c r="M299">
        <v>248.31</v>
      </c>
      <c r="N299">
        <v>307.03</v>
      </c>
      <c r="O299">
        <v>359.53</v>
      </c>
      <c r="P299" s="10" cm="1">
        <f t="array" ref="P299">INTERCEPT(M299:O299,M$1:O$1)</f>
        <v>138.126666666667</v>
      </c>
      <c r="Q299" s="10" cm="1">
        <f t="array" ref="Q299">SLOPE(M299:O299,M$1:O$1)</f>
        <v>11.122</v>
      </c>
      <c r="R299" s="11">
        <f t="shared" si="32"/>
        <v>56.6169558635597</v>
      </c>
      <c r="S299" s="11">
        <f t="shared" si="33"/>
        <v>20.7088551458591</v>
      </c>
    </row>
    <row r="300" spans="1:19">
      <c r="A300" s="5">
        <v>299</v>
      </c>
      <c r="B300" s="3">
        <v>54701117231</v>
      </c>
      <c r="C300" s="7">
        <v>0.25</v>
      </c>
      <c r="D300" s="6">
        <v>382907820617</v>
      </c>
      <c r="E300" s="7">
        <v>0.25</v>
      </c>
      <c r="F300" s="6">
        <v>36055133</v>
      </c>
      <c r="G300" s="8">
        <v>19</v>
      </c>
      <c r="H300" s="3">
        <v>26633707</v>
      </c>
      <c r="J300">
        <v>121.77</v>
      </c>
      <c r="K300">
        <v>24.94</v>
      </c>
      <c r="L300">
        <v>10.98</v>
      </c>
      <c r="M300">
        <v>143.6</v>
      </c>
      <c r="N300">
        <v>152.35</v>
      </c>
      <c r="O300">
        <v>160.47</v>
      </c>
      <c r="P300" s="10" cm="1">
        <f t="array" ref="P300">INTERCEPT(M300:O300,M$1:O$1)</f>
        <v>126.835</v>
      </c>
      <c r="Q300" s="10" cm="1">
        <f t="array" ref="Q300">SLOPE(M300:O300,M$1:O$1)</f>
        <v>1.687</v>
      </c>
      <c r="R300" s="11">
        <f t="shared" si="32"/>
        <v>14.8136141178912</v>
      </c>
      <c r="S300" s="11">
        <f t="shared" si="33"/>
        <v>48.8260482863058</v>
      </c>
    </row>
    <row r="301" spans="1:19">
      <c r="A301" s="5">
        <v>300</v>
      </c>
      <c r="B301" s="3">
        <v>48315499170</v>
      </c>
      <c r="C301" s="7">
        <v>0.25</v>
      </c>
      <c r="D301" s="6">
        <v>338208494190</v>
      </c>
      <c r="E301" s="7">
        <v>0.25</v>
      </c>
      <c r="F301" s="6">
        <v>38175167</v>
      </c>
      <c r="G301" s="8">
        <v>26</v>
      </c>
      <c r="H301" s="3">
        <v>5777716</v>
      </c>
      <c r="J301">
        <v>134.47</v>
      </c>
      <c r="K301">
        <v>21.82</v>
      </c>
      <c r="L301">
        <v>3.5</v>
      </c>
      <c r="M301">
        <v>168.74</v>
      </c>
      <c r="N301">
        <v>185.18</v>
      </c>
      <c r="O301">
        <v>196.22</v>
      </c>
      <c r="P301" s="10" cm="1">
        <f t="array" ref="P301">INTERCEPT(M301:O301,M$1:O$1)</f>
        <v>142.16</v>
      </c>
      <c r="Q301" s="10" cm="1">
        <f t="array" ref="Q301">SLOPE(M301:O301,M$1:O$1)</f>
        <v>2.748</v>
      </c>
      <c r="R301" s="11">
        <f t="shared" si="32"/>
        <v>27.7997044744484</v>
      </c>
      <c r="S301" s="11">
        <f t="shared" si="33"/>
        <v>42.8784477439609</v>
      </c>
    </row>
    <row r="302" spans="1:19">
      <c r="A302" s="5"/>
      <c r="F302" s="2"/>
      <c r="P302" s="10"/>
      <c r="Q302" s="10"/>
      <c r="R302" s="11"/>
      <c r="S302" s="11"/>
    </row>
    <row r="303" spans="1:19">
      <c r="A303" s="5"/>
      <c r="B303" s="3"/>
      <c r="C303" s="7"/>
      <c r="D303" s="6"/>
      <c r="E303" s="7"/>
      <c r="F303" s="6"/>
      <c r="G303" s="8"/>
      <c r="H303" s="6"/>
      <c r="P303" s="10"/>
      <c r="Q303" s="10"/>
      <c r="R303" s="11"/>
      <c r="S303" s="11"/>
    </row>
    <row r="304" spans="1:19">
      <c r="A304" s="5"/>
      <c r="B304" s="3"/>
      <c r="C304" s="7"/>
      <c r="D304" s="6"/>
      <c r="E304" s="7"/>
      <c r="F304" s="6"/>
      <c r="G304" s="8"/>
      <c r="H304" s="6"/>
      <c r="P304" s="10"/>
      <c r="Q304" s="10"/>
      <c r="R304" s="11"/>
      <c r="S304" s="11"/>
    </row>
    <row r="305" spans="1:19">
      <c r="A305" s="5"/>
      <c r="B305" s="3"/>
      <c r="C305" s="7"/>
      <c r="D305" s="6"/>
      <c r="E305" s="7"/>
      <c r="F305" s="6"/>
      <c r="G305" s="8"/>
      <c r="H305" s="6"/>
      <c r="P305" s="10"/>
      <c r="Q305" s="10"/>
      <c r="R305" s="11"/>
      <c r="S305" s="11"/>
    </row>
    <row r="306" spans="1:19">
      <c r="A306" s="5"/>
      <c r="B306" s="3"/>
      <c r="C306" s="7"/>
      <c r="D306" s="6"/>
      <c r="E306" s="7"/>
      <c r="F306" s="6"/>
      <c r="G306" s="8"/>
      <c r="H306" s="6"/>
      <c r="J306" s="12"/>
      <c r="K306"/>
      <c r="L306"/>
      <c r="M306"/>
      <c r="N306"/>
      <c r="O306"/>
      <c r="P306" s="10"/>
      <c r="Q306" s="10"/>
      <c r="R306" s="11"/>
      <c r="S306" s="11"/>
    </row>
    <row r="307" spans="1:19">
      <c r="A307" s="5"/>
      <c r="B307" s="3"/>
      <c r="C307" s="7"/>
      <c r="D307" s="6"/>
      <c r="E307" s="7"/>
      <c r="F307" s="6"/>
      <c r="G307" s="8"/>
      <c r="H307" s="6"/>
      <c r="P307" s="10"/>
      <c r="Q307" s="10"/>
      <c r="R307" s="11"/>
      <c r="S307" s="11"/>
    </row>
    <row r="308" spans="1:19">
      <c r="A308" s="5"/>
      <c r="B308" s="3"/>
      <c r="C308" s="7"/>
      <c r="D308" s="6"/>
      <c r="E308" s="7"/>
      <c r="F308" s="6"/>
      <c r="G308" s="8"/>
      <c r="H308" s="6"/>
      <c r="P308" s="10"/>
      <c r="Q308" s="10"/>
      <c r="R308" s="11"/>
      <c r="S308" s="11"/>
    </row>
    <row r="309" spans="1:19">
      <c r="A309" s="5"/>
      <c r="B309" s="3"/>
      <c r="C309" s="7"/>
      <c r="D309" s="6"/>
      <c r="E309" s="7"/>
      <c r="F309" s="6"/>
      <c r="G309" s="8"/>
      <c r="H309" s="6"/>
      <c r="I309"/>
      <c r="J309"/>
      <c r="K309"/>
      <c r="L309"/>
      <c r="M309"/>
      <c r="N309"/>
      <c r="O309"/>
      <c r="P309" s="10"/>
      <c r="Q309" s="10"/>
      <c r="R309" s="11"/>
      <c r="S309" s="11"/>
    </row>
    <row r="310" spans="1:19">
      <c r="A310" s="5"/>
      <c r="B310" s="3"/>
      <c r="C310" s="7"/>
      <c r="D310" s="6"/>
      <c r="E310" s="7"/>
      <c r="F310" s="6"/>
      <c r="G310" s="8"/>
      <c r="H310" s="6"/>
      <c r="I310"/>
      <c r="J310"/>
      <c r="K310"/>
      <c r="L310"/>
      <c r="M310"/>
      <c r="N310"/>
      <c r="O310"/>
      <c r="P310" s="10"/>
      <c r="Q310" s="10"/>
      <c r="R310" s="11"/>
      <c r="S310" s="11"/>
    </row>
    <row r="311" spans="1:19">
      <c r="A311" s="5"/>
      <c r="B311" s="3"/>
      <c r="C311" s="7"/>
      <c r="D311" s="6"/>
      <c r="E311" s="7"/>
      <c r="F311" s="6"/>
      <c r="G311" s="8"/>
      <c r="H311" s="6"/>
      <c r="I311"/>
      <c r="J311"/>
      <c r="K311"/>
      <c r="L311"/>
      <c r="M311"/>
      <c r="N311"/>
      <c r="O311"/>
      <c r="P311" s="10"/>
      <c r="Q311" s="10"/>
      <c r="R311" s="11"/>
      <c r="S311" s="11"/>
    </row>
    <row r="312" spans="1:19">
      <c r="A312" s="5"/>
      <c r="B312" s="3"/>
      <c r="C312" s="7"/>
      <c r="D312" s="6"/>
      <c r="E312" s="7"/>
      <c r="F312" s="6"/>
      <c r="G312" s="8"/>
      <c r="H312" s="6"/>
      <c r="I312"/>
      <c r="J312"/>
      <c r="K312"/>
      <c r="L312"/>
      <c r="M312"/>
      <c r="N312"/>
      <c r="O312"/>
      <c r="P312" s="10"/>
      <c r="Q312" s="10"/>
      <c r="R312" s="11"/>
      <c r="S312" s="11"/>
    </row>
    <row r="313" spans="1:19">
      <c r="A313" s="5"/>
      <c r="B313" s="3"/>
      <c r="C313" s="7"/>
      <c r="D313" s="6"/>
      <c r="E313" s="7"/>
      <c r="F313" s="6"/>
      <c r="G313" s="8"/>
      <c r="H313" s="3"/>
      <c r="I313"/>
      <c r="J313"/>
      <c r="K313"/>
      <c r="L313"/>
      <c r="M313"/>
      <c r="N313"/>
      <c r="O313"/>
      <c r="P313" s="10"/>
      <c r="Q313" s="10"/>
      <c r="R313" s="11"/>
      <c r="S313" s="11"/>
    </row>
    <row r="314" spans="1:19">
      <c r="A314" s="5"/>
      <c r="B314" s="3"/>
      <c r="C314" s="7"/>
      <c r="D314" s="6"/>
      <c r="E314" s="7"/>
      <c r="F314" s="6"/>
      <c r="G314" s="8"/>
      <c r="H314" s="3"/>
      <c r="P314" s="10"/>
      <c r="Q314" s="10"/>
      <c r="R314" s="11"/>
      <c r="S314" s="11"/>
    </row>
    <row r="315" spans="1:19">
      <c r="A315" s="5"/>
      <c r="B315" s="3"/>
      <c r="C315" s="7"/>
      <c r="D315" s="6"/>
      <c r="E315" s="7"/>
      <c r="F315" s="6"/>
      <c r="G315" s="8"/>
      <c r="H315" s="3"/>
      <c r="P315" s="10"/>
      <c r="Q315" s="10"/>
      <c r="R315" s="11"/>
      <c r="S315" s="11"/>
    </row>
    <row r="316" spans="1:19">
      <c r="A316" s="5"/>
      <c r="B316" s="3"/>
      <c r="C316" s="7"/>
      <c r="D316" s="6"/>
      <c r="E316" s="7"/>
      <c r="F316" s="6"/>
      <c r="G316" s="8"/>
      <c r="H316" s="3"/>
      <c r="P316" s="10"/>
      <c r="Q316" s="10"/>
      <c r="R316" s="11"/>
      <c r="S316" s="11"/>
    </row>
    <row r="317" spans="1:19">
      <c r="A317" s="5"/>
      <c r="B317" s="3"/>
      <c r="C317" s="7"/>
      <c r="D317" s="6"/>
      <c r="E317" s="7"/>
      <c r="F317" s="6"/>
      <c r="G317" s="8"/>
      <c r="H317" s="3"/>
      <c r="L317" s="13"/>
      <c r="M317"/>
      <c r="N317"/>
      <c r="O317"/>
      <c r="P317" s="10"/>
      <c r="Q317" s="10"/>
      <c r="R317" s="11"/>
      <c r="S317" s="11"/>
    </row>
    <row r="318" spans="1:19">
      <c r="A318" s="5"/>
      <c r="B318" s="3"/>
      <c r="C318" s="7"/>
      <c r="D318" s="6"/>
      <c r="E318" s="7"/>
      <c r="F318" s="6"/>
      <c r="G318" s="8"/>
      <c r="H318" s="3"/>
      <c r="P318" s="10"/>
      <c r="Q318" s="10"/>
      <c r="R318" s="11"/>
      <c r="S318" s="11"/>
    </row>
    <row r="319" spans="1:19">
      <c r="A319" s="5"/>
      <c r="B319" s="3"/>
      <c r="C319" s="7"/>
      <c r="D319" s="6"/>
      <c r="E319" s="7"/>
      <c r="F319" s="6"/>
      <c r="G319" s="8"/>
      <c r="H319" s="3"/>
      <c r="J319" s="13"/>
      <c r="K319"/>
      <c r="L319"/>
      <c r="M319"/>
      <c r="N319"/>
      <c r="O319"/>
      <c r="P319" s="10"/>
      <c r="Q319" s="10"/>
      <c r="R319" s="11"/>
      <c r="S319" s="11"/>
    </row>
    <row r="320" spans="1:19">
      <c r="A320" s="5"/>
      <c r="B320" s="3"/>
      <c r="C320" s="7"/>
      <c r="D320" s="6"/>
      <c r="E320" s="7"/>
      <c r="F320" s="6"/>
      <c r="G320" s="8"/>
      <c r="H320" s="3"/>
      <c r="P320" s="10"/>
      <c r="Q320" s="10"/>
      <c r="R320" s="11"/>
      <c r="S320" s="11"/>
    </row>
    <row r="321" spans="1:19">
      <c r="A321" s="5"/>
      <c r="B321" s="3"/>
      <c r="C321" s="7"/>
      <c r="D321" s="6"/>
      <c r="E321" s="7"/>
      <c r="F321" s="6"/>
      <c r="G321" s="8"/>
      <c r="H321" s="3"/>
      <c r="P321" s="10"/>
      <c r="Q321" s="10"/>
      <c r="R321" s="11"/>
      <c r="S321" s="11"/>
    </row>
    <row r="322" spans="1:19">
      <c r="A322" s="5"/>
      <c r="B322" s="3"/>
      <c r="C322" s="7"/>
      <c r="D322" s="6"/>
      <c r="E322" s="7"/>
      <c r="F322" s="6"/>
      <c r="G322" s="8"/>
      <c r="H322" s="3"/>
      <c r="J322" s="13"/>
      <c r="K322"/>
      <c r="L322"/>
      <c r="M322"/>
      <c r="N322"/>
      <c r="O322"/>
      <c r="P322" s="10"/>
      <c r="Q322" s="10"/>
      <c r="R322" s="11"/>
      <c r="S322" s="11"/>
    </row>
    <row r="323" spans="1:19">
      <c r="A323" s="5"/>
      <c r="B323" s="3"/>
      <c r="C323" s="7"/>
      <c r="D323" s="6"/>
      <c r="E323" s="7"/>
      <c r="F323" s="6"/>
      <c r="G323" s="8"/>
      <c r="H323" s="3"/>
      <c r="P323" s="10"/>
      <c r="Q323" s="10"/>
      <c r="R323" s="11"/>
      <c r="S323" s="11"/>
    </row>
    <row r="324" spans="1:19">
      <c r="A324" s="5"/>
      <c r="B324" s="3"/>
      <c r="C324" s="7"/>
      <c r="D324" s="6"/>
      <c r="E324" s="7"/>
      <c r="F324" s="6"/>
      <c r="G324" s="8"/>
      <c r="H324" s="3"/>
      <c r="P324" s="10"/>
      <c r="Q324" s="10"/>
      <c r="R324" s="11"/>
      <c r="S324" s="11"/>
    </row>
    <row r="325" spans="1:19">
      <c r="A325" s="5"/>
      <c r="B325" s="3"/>
      <c r="C325" s="7"/>
      <c r="D325" s="6"/>
      <c r="E325" s="7"/>
      <c r="F325" s="6"/>
      <c r="G325" s="8"/>
      <c r="H325" s="3"/>
      <c r="L325" s="13"/>
      <c r="M325"/>
      <c r="N325"/>
      <c r="O325"/>
      <c r="P325" s="10"/>
      <c r="Q325" s="10"/>
      <c r="R325" s="11"/>
      <c r="S325" s="11"/>
    </row>
    <row r="326" spans="1:19">
      <c r="A326" s="5"/>
      <c r="B326" s="3"/>
      <c r="C326" s="7"/>
      <c r="D326" s="6"/>
      <c r="E326" s="7"/>
      <c r="F326" s="6"/>
      <c r="G326" s="8"/>
      <c r="H326" s="3"/>
      <c r="P326" s="10"/>
      <c r="Q326" s="10"/>
      <c r="R326" s="11"/>
      <c r="S326" s="11"/>
    </row>
    <row r="327" spans="1:19">
      <c r="A327" s="5"/>
      <c r="B327" s="3"/>
      <c r="C327" s="7"/>
      <c r="D327" s="6"/>
      <c r="E327" s="7"/>
      <c r="F327" s="6"/>
      <c r="G327" s="8"/>
      <c r="H327" s="3"/>
      <c r="P327" s="10"/>
      <c r="Q327" s="10"/>
      <c r="R327" s="11"/>
      <c r="S327" s="11"/>
    </row>
    <row r="328" spans="1:19">
      <c r="A328" s="5"/>
      <c r="B328" s="3"/>
      <c r="C328" s="7"/>
      <c r="D328" s="6"/>
      <c r="E328" s="7"/>
      <c r="F328" s="6"/>
      <c r="G328" s="8"/>
      <c r="H328" s="3"/>
      <c r="P328" s="10"/>
      <c r="Q328" s="10"/>
      <c r="R328" s="11"/>
      <c r="S328" s="11"/>
    </row>
    <row r="329" spans="1:19">
      <c r="A329" s="5"/>
      <c r="B329" s="3"/>
      <c r="C329" s="7"/>
      <c r="D329" s="6"/>
      <c r="E329" s="7"/>
      <c r="F329" s="6"/>
      <c r="G329" s="8"/>
      <c r="H329" s="3"/>
      <c r="P329" s="10"/>
      <c r="Q329" s="10"/>
      <c r="R329" s="11"/>
      <c r="S329" s="11"/>
    </row>
    <row r="330" spans="1:19">
      <c r="A330" s="5"/>
      <c r="B330" s="3"/>
      <c r="C330" s="7"/>
      <c r="D330" s="6"/>
      <c r="E330" s="7"/>
      <c r="F330" s="6"/>
      <c r="G330" s="8"/>
      <c r="H330" s="3"/>
      <c r="P330" s="10"/>
      <c r="Q330" s="10"/>
      <c r="R330" s="11"/>
      <c r="S330" s="11"/>
    </row>
    <row r="331" spans="1:19">
      <c r="A331" s="5"/>
      <c r="B331" s="3"/>
      <c r="C331" s="7"/>
      <c r="D331" s="6"/>
      <c r="E331" s="7"/>
      <c r="F331" s="6"/>
      <c r="G331" s="8"/>
      <c r="H331" s="3"/>
      <c r="P331" s="10"/>
      <c r="Q331" s="10"/>
      <c r="R331" s="11"/>
      <c r="S331" s="11"/>
    </row>
    <row r="332" spans="1:19">
      <c r="A332" s="5"/>
      <c r="B332" s="3"/>
      <c r="C332" s="7"/>
      <c r="D332" s="6"/>
      <c r="E332" s="7"/>
      <c r="F332" s="6"/>
      <c r="G332" s="8"/>
      <c r="H332" s="3"/>
      <c r="P332" s="10"/>
      <c r="Q332" s="10"/>
      <c r="R332" s="11"/>
      <c r="S332" s="11"/>
    </row>
    <row r="333" spans="1:19">
      <c r="A333" s="5"/>
      <c r="B333" s="3"/>
      <c r="C333" s="7"/>
      <c r="D333" s="6"/>
      <c r="E333" s="7"/>
      <c r="F333" s="6"/>
      <c r="G333" s="8"/>
      <c r="H333" s="3"/>
      <c r="P333" s="10"/>
      <c r="Q333" s="10"/>
      <c r="R333" s="11"/>
      <c r="S333" s="11"/>
    </row>
    <row r="334" spans="1:19">
      <c r="A334" s="5"/>
      <c r="B334" s="3"/>
      <c r="C334" s="7"/>
      <c r="D334" s="6"/>
      <c r="E334" s="7"/>
      <c r="F334" s="6"/>
      <c r="G334" s="8"/>
      <c r="H334" s="3"/>
      <c r="P334" s="10"/>
      <c r="Q334" s="10"/>
      <c r="R334" s="11"/>
      <c r="S334" s="11"/>
    </row>
    <row r="335" spans="1:19">
      <c r="A335" s="5"/>
      <c r="B335" s="3"/>
      <c r="C335" s="7"/>
      <c r="D335" s="6"/>
      <c r="E335" s="7"/>
      <c r="F335" s="6"/>
      <c r="G335" s="8"/>
      <c r="H335" s="3"/>
      <c r="P335" s="10"/>
      <c r="Q335" s="10"/>
      <c r="R335" s="11"/>
      <c r="S335" s="11"/>
    </row>
    <row r="336" spans="1:19">
      <c r="A336" s="5"/>
      <c r="B336" s="3"/>
      <c r="C336" s="7"/>
      <c r="D336" s="6"/>
      <c r="E336" s="7"/>
      <c r="F336" s="6"/>
      <c r="G336" s="8"/>
      <c r="H336" s="3"/>
      <c r="P336" s="10"/>
      <c r="Q336" s="10"/>
      <c r="R336" s="11"/>
      <c r="S336" s="11"/>
    </row>
    <row r="337" spans="1:19">
      <c r="A337" s="5"/>
      <c r="B337" s="3"/>
      <c r="C337" s="7"/>
      <c r="D337" s="6"/>
      <c r="E337" s="7"/>
      <c r="F337" s="6"/>
      <c r="G337" s="8"/>
      <c r="H337" s="3"/>
      <c r="P337" s="10"/>
      <c r="Q337" s="10"/>
      <c r="R337" s="11"/>
      <c r="S337" s="11"/>
    </row>
    <row r="338" spans="1:19">
      <c r="A338" s="5"/>
      <c r="B338" s="3"/>
      <c r="C338" s="7"/>
      <c r="D338" s="6"/>
      <c r="E338" s="7"/>
      <c r="F338" s="6"/>
      <c r="G338" s="8"/>
      <c r="H338" s="3"/>
      <c r="P338" s="10"/>
      <c r="Q338" s="10"/>
      <c r="R338" s="11"/>
      <c r="S338" s="11"/>
    </row>
    <row r="339" spans="1:19">
      <c r="A339" s="5"/>
      <c r="B339" s="3"/>
      <c r="C339" s="7"/>
      <c r="D339" s="6"/>
      <c r="E339" s="7"/>
      <c r="F339" s="6"/>
      <c r="G339" s="8"/>
      <c r="H339" s="3"/>
      <c r="P339" s="10"/>
      <c r="Q339" s="10"/>
      <c r="R339" s="11"/>
      <c r="S339" s="11"/>
    </row>
    <row r="340" spans="1:19">
      <c r="A340" s="5"/>
      <c r="B340" s="3"/>
      <c r="C340" s="7"/>
      <c r="D340" s="6"/>
      <c r="E340" s="7"/>
      <c r="F340" s="6"/>
      <c r="G340" s="8"/>
      <c r="H340" s="3"/>
      <c r="P340" s="10"/>
      <c r="Q340" s="10"/>
      <c r="R340" s="11"/>
      <c r="S340" s="11"/>
    </row>
    <row r="341" spans="1:19">
      <c r="A341" s="5"/>
      <c r="B341" s="3"/>
      <c r="C341" s="7"/>
      <c r="D341" s="6"/>
      <c r="E341" s="7"/>
      <c r="F341" s="6"/>
      <c r="G341" s="8"/>
      <c r="H341" s="3"/>
      <c r="P341" s="10"/>
      <c r="Q341" s="10"/>
      <c r="R341" s="11"/>
      <c r="S341" s="11"/>
    </row>
    <row r="342" spans="1:19">
      <c r="A342" s="5"/>
      <c r="B342" s="3"/>
      <c r="C342" s="7"/>
      <c r="D342" s="6"/>
      <c r="E342" s="7"/>
      <c r="F342" s="6"/>
      <c r="G342" s="8"/>
      <c r="H342" s="3"/>
      <c r="P342" s="10"/>
      <c r="Q342" s="10"/>
      <c r="R342" s="11"/>
      <c r="S342" s="11"/>
    </row>
    <row r="343" spans="1:19">
      <c r="A343" s="5"/>
      <c r="B343" s="3"/>
      <c r="C343" s="7"/>
      <c r="D343" s="6"/>
      <c r="E343" s="7"/>
      <c r="F343" s="6"/>
      <c r="G343" s="8"/>
      <c r="H343" s="3"/>
      <c r="P343" s="10"/>
      <c r="Q343" s="10"/>
      <c r="R343" s="11"/>
      <c r="S343" s="11"/>
    </row>
    <row r="344" spans="1:19">
      <c r="A344" s="5"/>
      <c r="B344" s="3"/>
      <c r="C344" s="7"/>
      <c r="D344" s="6"/>
      <c r="E344" s="7"/>
      <c r="F344" s="6"/>
      <c r="G344" s="8"/>
      <c r="H344" s="3"/>
      <c r="P344" s="10"/>
      <c r="Q344" s="10"/>
      <c r="R344" s="11"/>
      <c r="S344" s="11"/>
    </row>
    <row r="345" spans="1:19">
      <c r="A345" s="5"/>
      <c r="B345" s="3"/>
      <c r="C345" s="7"/>
      <c r="D345" s="6"/>
      <c r="E345" s="7"/>
      <c r="F345" s="6"/>
      <c r="G345" s="8"/>
      <c r="H345" s="3"/>
      <c r="P345" s="10"/>
      <c r="Q345" s="10"/>
      <c r="R345" s="11"/>
      <c r="S345" s="11"/>
    </row>
    <row r="346" spans="1:19">
      <c r="A346" s="5"/>
      <c r="B346" s="3"/>
      <c r="C346" s="7"/>
      <c r="D346" s="6"/>
      <c r="E346" s="7"/>
      <c r="F346" s="6"/>
      <c r="G346" s="8"/>
      <c r="H346" s="3"/>
      <c r="P346" s="10"/>
      <c r="Q346" s="10"/>
      <c r="R346" s="11"/>
      <c r="S346" s="11"/>
    </row>
    <row r="347" spans="1:19">
      <c r="A347" s="5"/>
      <c r="B347" s="3"/>
      <c r="C347" s="7"/>
      <c r="D347" s="6"/>
      <c r="E347" s="7"/>
      <c r="F347" s="6"/>
      <c r="G347" s="8"/>
      <c r="H347" s="3"/>
      <c r="P347" s="10"/>
      <c r="Q347" s="10"/>
      <c r="R347" s="11"/>
      <c r="S347" s="11"/>
    </row>
    <row r="348" spans="1:19">
      <c r="A348" s="5"/>
      <c r="B348" s="3"/>
      <c r="C348" s="7"/>
      <c r="D348" s="6"/>
      <c r="E348" s="7"/>
      <c r="F348" s="6"/>
      <c r="G348" s="8"/>
      <c r="H348" s="3"/>
      <c r="P348" s="10"/>
      <c r="Q348" s="10"/>
      <c r="R348" s="11"/>
      <c r="S348" s="11"/>
    </row>
    <row r="349" spans="1:19">
      <c r="A349" s="5"/>
      <c r="B349" s="3"/>
      <c r="C349" s="7"/>
      <c r="D349" s="6"/>
      <c r="E349" s="7"/>
      <c r="F349" s="6"/>
      <c r="G349" s="8"/>
      <c r="H349" s="3"/>
      <c r="P349" s="10"/>
      <c r="Q349" s="10"/>
      <c r="R349" s="11"/>
      <c r="S349" s="11"/>
    </row>
    <row r="350" spans="1:19">
      <c r="A350" s="5"/>
      <c r="B350" s="3"/>
      <c r="C350" s="7"/>
      <c r="D350" s="6"/>
      <c r="E350" s="7"/>
      <c r="F350" s="6"/>
      <c r="G350" s="8"/>
      <c r="H350" s="3"/>
      <c r="P350" s="10"/>
      <c r="Q350" s="10"/>
      <c r="R350" s="11"/>
      <c r="S350" s="11"/>
    </row>
    <row r="351" spans="1:19">
      <c r="A351" s="5"/>
      <c r="B351" s="3"/>
      <c r="C351" s="7"/>
      <c r="D351" s="6"/>
      <c r="E351" s="7"/>
      <c r="F351" s="6"/>
      <c r="G351" s="8"/>
      <c r="H351" s="3"/>
      <c r="P351" s="10"/>
      <c r="Q351" s="10"/>
      <c r="R351" s="11"/>
      <c r="S351" s="11"/>
    </row>
    <row r="352" spans="1:19">
      <c r="A352" s="5"/>
      <c r="B352" s="3"/>
      <c r="C352" s="7"/>
      <c r="D352" s="6"/>
      <c r="E352" s="7"/>
      <c r="F352" s="6"/>
      <c r="G352" s="8"/>
      <c r="H352" s="3"/>
      <c r="P352" s="10"/>
      <c r="Q352" s="10"/>
      <c r="R352" s="11"/>
      <c r="S352" s="11"/>
    </row>
    <row r="353" spans="1:19">
      <c r="A353" s="5"/>
      <c r="B353" s="3"/>
      <c r="C353" s="7"/>
      <c r="D353" s="6"/>
      <c r="E353" s="7"/>
      <c r="F353" s="6"/>
      <c r="G353" s="8"/>
      <c r="H353" s="3"/>
      <c r="P353" s="10"/>
      <c r="Q353" s="10"/>
      <c r="R353" s="11"/>
      <c r="S353" s="11"/>
    </row>
    <row r="354" spans="1:19">
      <c r="A354" s="5"/>
      <c r="B354" s="3"/>
      <c r="C354" s="7"/>
      <c r="D354" s="6"/>
      <c r="E354" s="7"/>
      <c r="F354" s="6"/>
      <c r="G354" s="8"/>
      <c r="H354" s="3"/>
      <c r="P354" s="10"/>
      <c r="Q354" s="10"/>
      <c r="R354" s="11"/>
      <c r="S354" s="11"/>
    </row>
    <row r="355" spans="1:19">
      <c r="A355" s="5"/>
      <c r="B355" s="3"/>
      <c r="C355" s="7"/>
      <c r="D355" s="6"/>
      <c r="E355" s="7"/>
      <c r="F355" s="6"/>
      <c r="G355" s="8"/>
      <c r="H355" s="3"/>
      <c r="P355" s="10"/>
      <c r="Q355" s="10"/>
      <c r="R355" s="11"/>
      <c r="S355" s="11"/>
    </row>
    <row r="356" spans="1:19">
      <c r="A356" s="5"/>
      <c r="B356" s="3"/>
      <c r="C356" s="7"/>
      <c r="D356" s="6"/>
      <c r="E356" s="7"/>
      <c r="F356" s="6"/>
      <c r="G356" s="8"/>
      <c r="H356" s="3"/>
      <c r="P356" s="10"/>
      <c r="Q356" s="10"/>
      <c r="R356" s="11"/>
      <c r="S356" s="11"/>
    </row>
    <row r="357" spans="1:19">
      <c r="A357" s="5"/>
      <c r="B357" s="3"/>
      <c r="C357" s="7"/>
      <c r="D357" s="6"/>
      <c r="E357" s="7"/>
      <c r="F357" s="6"/>
      <c r="G357" s="8"/>
      <c r="H357" s="3"/>
      <c r="P357" s="10"/>
      <c r="Q357" s="10"/>
      <c r="R357" s="11"/>
      <c r="S357" s="11"/>
    </row>
    <row r="358" spans="1:19">
      <c r="A358" s="5"/>
      <c r="B358" s="3"/>
      <c r="C358" s="7"/>
      <c r="D358" s="6"/>
      <c r="E358" s="7"/>
      <c r="F358" s="6"/>
      <c r="G358" s="8"/>
      <c r="H358" s="3"/>
      <c r="P358" s="10"/>
      <c r="Q358" s="10"/>
      <c r="R358" s="11"/>
      <c r="S358" s="11"/>
    </row>
    <row r="359" spans="1:19">
      <c r="A359" s="5"/>
      <c r="B359" s="3"/>
      <c r="C359" s="7"/>
      <c r="D359" s="6"/>
      <c r="E359" s="7"/>
      <c r="F359" s="6"/>
      <c r="G359" s="8"/>
      <c r="H359" s="3"/>
      <c r="P359" s="10"/>
      <c r="Q359" s="10"/>
      <c r="R359" s="11"/>
      <c r="S359" s="11"/>
    </row>
    <row r="360" spans="1:19">
      <c r="A360" s="5"/>
      <c r="B360" s="3"/>
      <c r="C360" s="7"/>
      <c r="D360" s="6"/>
      <c r="E360" s="7"/>
      <c r="F360" s="6"/>
      <c r="G360" s="8"/>
      <c r="H360" s="3"/>
      <c r="P360" s="10"/>
      <c r="Q360" s="10"/>
      <c r="R360" s="11"/>
      <c r="S360" s="11"/>
    </row>
    <row r="361" spans="1:19">
      <c r="A361" s="5"/>
      <c r="B361" s="3"/>
      <c r="C361" s="7"/>
      <c r="D361" s="6"/>
      <c r="E361" s="7"/>
      <c r="F361" s="6"/>
      <c r="G361" s="8"/>
      <c r="H361" s="3"/>
      <c r="P361" s="10"/>
      <c r="Q361" s="10"/>
      <c r="R361" s="11"/>
      <c r="S361" s="11"/>
    </row>
    <row r="362" spans="1:19">
      <c r="A362" s="5"/>
      <c r="B362" s="3"/>
      <c r="C362" s="7"/>
      <c r="D362" s="6"/>
      <c r="E362" s="7"/>
      <c r="F362" s="6"/>
      <c r="G362" s="8"/>
      <c r="H362" s="3"/>
      <c r="P362" s="10"/>
      <c r="Q362" s="10"/>
      <c r="R362" s="11"/>
      <c r="S362" s="11"/>
    </row>
    <row r="363" spans="1:19">
      <c r="A363" s="5"/>
      <c r="B363" s="3"/>
      <c r="C363" s="7"/>
      <c r="D363" s="6"/>
      <c r="E363" s="7"/>
      <c r="F363" s="6"/>
      <c r="G363" s="8"/>
      <c r="H363" s="3"/>
      <c r="P363" s="10"/>
      <c r="Q363" s="10"/>
      <c r="R363" s="11"/>
      <c r="S363" s="11"/>
    </row>
    <row r="364" spans="1:19">
      <c r="A364" s="5"/>
      <c r="B364" s="3"/>
      <c r="C364" s="7"/>
      <c r="D364" s="6"/>
      <c r="E364" s="7"/>
      <c r="F364" s="6"/>
      <c r="G364" s="8"/>
      <c r="H364" s="3"/>
      <c r="P364" s="10"/>
      <c r="Q364" s="10"/>
      <c r="R364" s="11"/>
      <c r="S364" s="11"/>
    </row>
    <row r="365" spans="1:19">
      <c r="A365" s="5"/>
      <c r="B365" s="3"/>
      <c r="C365" s="7"/>
      <c r="D365" s="6"/>
      <c r="E365" s="7"/>
      <c r="F365" s="6"/>
      <c r="G365" s="8"/>
      <c r="H365" s="3"/>
      <c r="P365" s="10"/>
      <c r="Q365" s="10"/>
      <c r="R365" s="11"/>
      <c r="S365" s="11"/>
    </row>
    <row r="366" spans="1:19">
      <c r="A366" s="5"/>
      <c r="B366" s="3"/>
      <c r="C366" s="7"/>
      <c r="D366" s="6"/>
      <c r="E366" s="7"/>
      <c r="F366" s="6"/>
      <c r="G366" s="8"/>
      <c r="H366" s="3"/>
      <c r="P366" s="10"/>
      <c r="Q366" s="10"/>
      <c r="R366" s="11"/>
      <c r="S366" s="11"/>
    </row>
    <row r="367" spans="1:19">
      <c r="A367" s="5"/>
      <c r="B367" s="3"/>
      <c r="C367" s="7"/>
      <c r="D367" s="6"/>
      <c r="E367" s="7"/>
      <c r="F367" s="6"/>
      <c r="G367" s="8"/>
      <c r="H367" s="3"/>
      <c r="P367" s="10"/>
      <c r="Q367" s="10"/>
      <c r="R367" s="11"/>
      <c r="S367" s="11"/>
    </row>
    <row r="368" spans="1:19">
      <c r="A368" s="5"/>
      <c r="B368" s="3"/>
      <c r="C368" s="7"/>
      <c r="D368" s="6"/>
      <c r="E368" s="7"/>
      <c r="F368" s="6"/>
      <c r="G368" s="8"/>
      <c r="H368" s="3"/>
      <c r="P368" s="10"/>
      <c r="Q368" s="10"/>
      <c r="R368" s="11"/>
      <c r="S368" s="11"/>
    </row>
    <row r="369" spans="1:19">
      <c r="A369" s="5"/>
      <c r="B369" s="3"/>
      <c r="C369" s="7"/>
      <c r="D369" s="6"/>
      <c r="E369" s="7"/>
      <c r="F369" s="6"/>
      <c r="G369" s="8"/>
      <c r="H369" s="3"/>
      <c r="P369" s="10"/>
      <c r="Q369" s="10"/>
      <c r="R369" s="11"/>
      <c r="S369" s="11"/>
    </row>
    <row r="370" spans="1:19">
      <c r="A370" s="5"/>
      <c r="B370" s="3"/>
      <c r="C370" s="7"/>
      <c r="D370" s="6"/>
      <c r="E370" s="7"/>
      <c r="F370" s="6"/>
      <c r="G370" s="8"/>
      <c r="H370" s="3"/>
      <c r="P370" s="10"/>
      <c r="Q370" s="10"/>
      <c r="R370" s="11"/>
      <c r="S370" s="11"/>
    </row>
    <row r="371" spans="1:19">
      <c r="A371" s="5"/>
      <c r="B371" s="3"/>
      <c r="C371" s="7"/>
      <c r="D371" s="6"/>
      <c r="E371" s="7"/>
      <c r="F371" s="6"/>
      <c r="G371" s="8"/>
      <c r="H371" s="3"/>
      <c r="P371" s="10"/>
      <c r="Q371" s="10"/>
      <c r="R371" s="11"/>
      <c r="S371" s="11"/>
    </row>
    <row r="372" spans="1:19">
      <c r="A372" s="5"/>
      <c r="B372" s="3"/>
      <c r="C372" s="7"/>
      <c r="D372" s="6"/>
      <c r="E372" s="7"/>
      <c r="F372" s="6"/>
      <c r="G372" s="8"/>
      <c r="H372" s="3"/>
      <c r="P372" s="10"/>
      <c r="Q372" s="10"/>
      <c r="R372" s="11"/>
      <c r="S372" s="11"/>
    </row>
    <row r="373" spans="1:19">
      <c r="A373" s="5"/>
      <c r="B373" s="3"/>
      <c r="C373" s="7"/>
      <c r="D373" s="6"/>
      <c r="E373" s="7"/>
      <c r="F373" s="6"/>
      <c r="G373" s="8"/>
      <c r="H373" s="3"/>
      <c r="P373" s="10"/>
      <c r="Q373" s="10"/>
      <c r="R373" s="11"/>
      <c r="S373" s="11"/>
    </row>
    <row r="374" spans="1:19">
      <c r="A374" s="5"/>
      <c r="B374" s="3"/>
      <c r="C374" s="7"/>
      <c r="D374" s="6"/>
      <c r="E374" s="7"/>
      <c r="F374" s="6"/>
      <c r="G374" s="8"/>
      <c r="H374" s="3"/>
      <c r="P374" s="10"/>
      <c r="Q374" s="10"/>
      <c r="R374" s="11"/>
      <c r="S374" s="11"/>
    </row>
    <row r="375" spans="1:19">
      <c r="A375" s="5"/>
      <c r="B375" s="3"/>
      <c r="C375" s="7"/>
      <c r="D375" s="6"/>
      <c r="E375" s="7"/>
      <c r="F375" s="6"/>
      <c r="G375" s="8"/>
      <c r="H375" s="3"/>
      <c r="P375" s="10"/>
      <c r="Q375" s="10"/>
      <c r="R375" s="11"/>
      <c r="S375" s="11"/>
    </row>
    <row r="376" spans="1:19">
      <c r="A376" s="5"/>
      <c r="B376" s="3"/>
      <c r="C376" s="7"/>
      <c r="D376" s="6"/>
      <c r="E376" s="7"/>
      <c r="F376" s="6"/>
      <c r="G376" s="8"/>
      <c r="H376" s="3"/>
      <c r="P376" s="10"/>
      <c r="Q376" s="10"/>
      <c r="R376" s="11"/>
      <c r="S376" s="11"/>
    </row>
    <row r="377" spans="1:19">
      <c r="A377" s="5"/>
      <c r="B377" s="3"/>
      <c r="C377" s="7"/>
      <c r="D377" s="6"/>
      <c r="E377" s="7"/>
      <c r="F377" s="6"/>
      <c r="G377" s="8"/>
      <c r="H377" s="3"/>
      <c r="P377" s="10"/>
      <c r="Q377" s="10"/>
      <c r="R377" s="11"/>
      <c r="S377" s="11"/>
    </row>
    <row r="378" spans="1:19">
      <c r="A378" s="5"/>
      <c r="B378" s="3"/>
      <c r="C378" s="7"/>
      <c r="D378" s="6"/>
      <c r="E378" s="7"/>
      <c r="F378" s="6"/>
      <c r="G378" s="8"/>
      <c r="H378" s="3"/>
      <c r="P378" s="10"/>
      <c r="Q378" s="10"/>
      <c r="R378" s="11"/>
      <c r="S378" s="11"/>
    </row>
    <row r="379" spans="1:19">
      <c r="A379" s="5"/>
      <c r="B379" s="3"/>
      <c r="C379" s="7"/>
      <c r="D379" s="6"/>
      <c r="E379" s="7"/>
      <c r="F379" s="6"/>
      <c r="G379" s="8"/>
      <c r="H379" s="3"/>
      <c r="P379" s="10"/>
      <c r="Q379" s="10"/>
      <c r="R379" s="11"/>
      <c r="S379" s="11"/>
    </row>
    <row r="380" spans="1:19">
      <c r="A380" s="5"/>
      <c r="B380" s="3"/>
      <c r="C380" s="7"/>
      <c r="D380" s="6"/>
      <c r="E380" s="7"/>
      <c r="F380" s="6"/>
      <c r="G380" s="8"/>
      <c r="H380" s="3"/>
      <c r="P380" s="10"/>
      <c r="Q380" s="10"/>
      <c r="R380" s="11"/>
      <c r="S380" s="11"/>
    </row>
    <row r="381" spans="1:19">
      <c r="A381" s="5"/>
      <c r="B381" s="3"/>
      <c r="C381" s="7"/>
      <c r="D381" s="6"/>
      <c r="E381" s="7"/>
      <c r="F381" s="6"/>
      <c r="G381" s="8"/>
      <c r="H381" s="3"/>
      <c r="P381" s="10"/>
      <c r="Q381" s="10"/>
      <c r="R381" s="11"/>
      <c r="S381" s="11"/>
    </row>
    <row r="382" spans="1:19">
      <c r="A382" s="5"/>
      <c r="B382" s="3"/>
      <c r="C382" s="7"/>
      <c r="D382" s="6"/>
      <c r="E382" s="7"/>
      <c r="F382" s="6"/>
      <c r="G382" s="8"/>
      <c r="H382" s="3"/>
      <c r="P382" s="10"/>
      <c r="Q382" s="10"/>
      <c r="R382" s="11"/>
      <c r="S382" s="11"/>
    </row>
    <row r="383" spans="1:19">
      <c r="A383" s="5"/>
      <c r="B383" s="3"/>
      <c r="C383" s="7"/>
      <c r="D383" s="6"/>
      <c r="E383" s="7"/>
      <c r="F383" s="6"/>
      <c r="G383" s="8"/>
      <c r="H383" s="3"/>
      <c r="P383" s="10"/>
      <c r="Q383" s="10"/>
      <c r="R383" s="11"/>
      <c r="S383" s="11"/>
    </row>
    <row r="384" spans="1:19">
      <c r="A384" s="5"/>
      <c r="B384" s="3"/>
      <c r="C384" s="7"/>
      <c r="D384" s="6"/>
      <c r="E384" s="7"/>
      <c r="F384" s="6"/>
      <c r="G384" s="8"/>
      <c r="H384" s="3"/>
      <c r="L384" s="13"/>
      <c r="M384"/>
      <c r="N384"/>
      <c r="O384"/>
      <c r="P384" s="10"/>
      <c r="Q384" s="10"/>
      <c r="R384" s="11"/>
      <c r="S384" s="11"/>
    </row>
    <row r="385" spans="1:19">
      <c r="A385" s="5"/>
      <c r="B385" s="3"/>
      <c r="C385" s="7"/>
      <c r="D385" s="6"/>
      <c r="E385" s="7"/>
      <c r="F385" s="6"/>
      <c r="G385" s="8"/>
      <c r="H385" s="3"/>
      <c r="P385" s="10"/>
      <c r="Q385" s="10"/>
      <c r="R385" s="11"/>
      <c r="S385" s="11"/>
    </row>
    <row r="386" spans="1:19">
      <c r="A386" s="5"/>
      <c r="B386" s="3"/>
      <c r="C386" s="7"/>
      <c r="D386" s="6"/>
      <c r="E386" s="7"/>
      <c r="F386" s="6"/>
      <c r="G386" s="8"/>
      <c r="H386" s="3"/>
      <c r="P386" s="10"/>
      <c r="Q386" s="10"/>
      <c r="R386" s="11"/>
      <c r="S386" s="11"/>
    </row>
    <row r="387" spans="1:19">
      <c r="A387" s="5"/>
      <c r="B387" s="3"/>
      <c r="C387" s="7"/>
      <c r="D387" s="6"/>
      <c r="E387" s="7"/>
      <c r="F387" s="6"/>
      <c r="G387" s="8"/>
      <c r="H387" s="3"/>
      <c r="P387" s="10"/>
      <c r="Q387" s="10"/>
      <c r="R387" s="11"/>
      <c r="S387" s="11"/>
    </row>
    <row r="388" spans="1:19">
      <c r="A388" s="5"/>
      <c r="B388" s="3"/>
      <c r="C388" s="7"/>
      <c r="D388" s="6"/>
      <c r="E388" s="7"/>
      <c r="F388" s="6"/>
      <c r="G388" s="8"/>
      <c r="H388" s="3"/>
      <c r="P388" s="10"/>
      <c r="Q388" s="10"/>
      <c r="R388" s="11"/>
      <c r="S388" s="11"/>
    </row>
    <row r="389" spans="1:19">
      <c r="A389" s="5"/>
      <c r="B389" s="3"/>
      <c r="C389" s="7"/>
      <c r="D389" s="6"/>
      <c r="E389" s="7"/>
      <c r="F389" s="6"/>
      <c r="G389" s="8"/>
      <c r="H389" s="3"/>
      <c r="P389" s="10"/>
      <c r="Q389" s="10"/>
      <c r="R389" s="11"/>
      <c r="S389" s="11"/>
    </row>
    <row r="390" spans="1:19">
      <c r="A390" s="5"/>
      <c r="B390" s="3"/>
      <c r="C390" s="7"/>
      <c r="D390" s="6"/>
      <c r="E390" s="7"/>
      <c r="F390" s="6"/>
      <c r="G390" s="8"/>
      <c r="H390" s="3"/>
      <c r="L390" s="13"/>
      <c r="M390"/>
      <c r="N390"/>
      <c r="O390"/>
      <c r="P390" s="10"/>
      <c r="Q390" s="10"/>
      <c r="R390" s="11"/>
      <c r="S390" s="11"/>
    </row>
    <row r="391" spans="1:19">
      <c r="A391" s="5"/>
      <c r="B391" s="3"/>
      <c r="C391" s="7"/>
      <c r="D391" s="6"/>
      <c r="E391" s="7"/>
      <c r="F391" s="6"/>
      <c r="G391" s="8"/>
      <c r="H391" s="3"/>
      <c r="P391" s="10"/>
      <c r="Q391" s="10"/>
      <c r="R391" s="11"/>
      <c r="S391" s="11"/>
    </row>
    <row r="392" spans="1:19">
      <c r="A392" s="5"/>
      <c r="B392" s="3"/>
      <c r="C392" s="7"/>
      <c r="D392" s="6"/>
      <c r="E392" s="7"/>
      <c r="F392" s="6"/>
      <c r="G392" s="8"/>
      <c r="H392" s="3"/>
      <c r="P392" s="10"/>
      <c r="Q392" s="10"/>
      <c r="R392" s="11"/>
      <c r="S392" s="11"/>
    </row>
    <row r="393" spans="1:19">
      <c r="A393" s="5"/>
      <c r="B393" s="3"/>
      <c r="C393" s="7"/>
      <c r="D393" s="6"/>
      <c r="E393" s="7"/>
      <c r="F393" s="6"/>
      <c r="G393" s="8"/>
      <c r="H393" s="3"/>
      <c r="P393" s="10"/>
      <c r="Q393" s="10"/>
      <c r="R393" s="11"/>
      <c r="S393" s="11"/>
    </row>
    <row r="394" spans="1:19">
      <c r="A394" s="5"/>
      <c r="B394" s="3"/>
      <c r="C394" s="7"/>
      <c r="D394" s="6"/>
      <c r="E394" s="7"/>
      <c r="F394" s="6"/>
      <c r="G394" s="8"/>
      <c r="H394" s="3"/>
      <c r="P394" s="10"/>
      <c r="Q394" s="10"/>
      <c r="R394" s="11"/>
      <c r="S394" s="11"/>
    </row>
    <row r="395" spans="1:19">
      <c r="A395" s="5"/>
      <c r="B395" s="3"/>
      <c r="C395" s="7"/>
      <c r="D395" s="6"/>
      <c r="E395" s="7"/>
      <c r="F395" s="6"/>
      <c r="G395" s="8"/>
      <c r="H395" s="3"/>
      <c r="P395" s="10"/>
      <c r="Q395" s="10"/>
      <c r="R395" s="11"/>
      <c r="S395" s="11"/>
    </row>
    <row r="396" spans="1:19">
      <c r="A396" s="5"/>
      <c r="B396" s="3"/>
      <c r="C396" s="7"/>
      <c r="D396" s="6"/>
      <c r="E396" s="7"/>
      <c r="F396" s="6"/>
      <c r="G396" s="8"/>
      <c r="H396" s="3"/>
      <c r="P396" s="10"/>
      <c r="Q396" s="10"/>
      <c r="R396" s="11"/>
      <c r="S396" s="11"/>
    </row>
    <row r="397" spans="1:19">
      <c r="A397" s="5"/>
      <c r="B397" s="3"/>
      <c r="C397" s="7"/>
      <c r="D397" s="6"/>
      <c r="E397" s="7"/>
      <c r="F397" s="6"/>
      <c r="G397" s="8"/>
      <c r="H397" s="3"/>
      <c r="P397" s="10"/>
      <c r="Q397" s="10"/>
      <c r="R397" s="11"/>
      <c r="S397" s="11"/>
    </row>
    <row r="398" spans="1:19">
      <c r="A398" s="5"/>
      <c r="B398" s="3"/>
      <c r="C398" s="7"/>
      <c r="D398" s="6"/>
      <c r="E398" s="7"/>
      <c r="F398" s="6"/>
      <c r="G398" s="8"/>
      <c r="H398" s="3"/>
      <c r="P398" s="10"/>
      <c r="Q398" s="10"/>
      <c r="R398" s="11"/>
      <c r="S398" s="11"/>
    </row>
    <row r="399" spans="1:19">
      <c r="A399" s="5"/>
      <c r="B399" s="3"/>
      <c r="C399" s="7"/>
      <c r="D399" s="6"/>
      <c r="E399" s="7"/>
      <c r="F399" s="6"/>
      <c r="G399" s="8"/>
      <c r="H399" s="3"/>
      <c r="P399" s="10"/>
      <c r="Q399" s="10"/>
      <c r="R399" s="11"/>
      <c r="S399" s="11"/>
    </row>
    <row r="400" spans="1:19">
      <c r="A400" s="5"/>
      <c r="B400" s="3"/>
      <c r="C400" s="7"/>
      <c r="D400" s="6"/>
      <c r="E400" s="7"/>
      <c r="F400" s="6"/>
      <c r="G400" s="8"/>
      <c r="H400" s="3"/>
      <c r="P400" s="10"/>
      <c r="Q400" s="10"/>
      <c r="R400" s="11"/>
      <c r="S400" s="11"/>
    </row>
    <row r="401" spans="1:19">
      <c r="A401" s="5"/>
      <c r="B401" s="3"/>
      <c r="C401" s="7"/>
      <c r="D401" s="6"/>
      <c r="E401" s="7"/>
      <c r="F401" s="6"/>
      <c r="G401" s="8"/>
      <c r="H401" s="3"/>
      <c r="P401" s="10"/>
      <c r="Q401" s="10"/>
      <c r="R401" s="11"/>
      <c r="S401" s="11"/>
    </row>
    <row r="402" spans="1:19">
      <c r="A402" s="5"/>
      <c r="B402" s="3"/>
      <c r="C402" s="7"/>
      <c r="D402" s="6"/>
      <c r="E402" s="7"/>
      <c r="F402" s="6"/>
      <c r="G402" s="8"/>
      <c r="H402" s="3"/>
      <c r="L402" s="13"/>
      <c r="M402"/>
      <c r="N402"/>
      <c r="O402"/>
      <c r="P402" s="10"/>
      <c r="Q402" s="10"/>
      <c r="R402" s="11"/>
      <c r="S402" s="11"/>
    </row>
    <row r="403" spans="1:19">
      <c r="A403" s="5"/>
      <c r="B403" s="3"/>
      <c r="C403" s="7"/>
      <c r="D403" s="4"/>
      <c r="E403" s="7"/>
      <c r="F403" s="4"/>
      <c r="G403" s="4"/>
      <c r="H403" s="3"/>
      <c r="P403" s="10"/>
      <c r="Q403" s="10"/>
      <c r="R403" s="11"/>
      <c r="S403" s="11"/>
    </row>
    <row r="404" spans="1:19">
      <c r="A404" s="5"/>
      <c r="B404" s="3"/>
      <c r="C404" s="7"/>
      <c r="D404" s="4"/>
      <c r="E404" s="7"/>
      <c r="F404" s="4"/>
      <c r="G404" s="4"/>
      <c r="H404" s="3"/>
      <c r="P404" s="10"/>
      <c r="Q404" s="10"/>
      <c r="R404" s="11"/>
      <c r="S404" s="11"/>
    </row>
    <row r="405" spans="1:19">
      <c r="A405" s="5"/>
      <c r="B405" s="3"/>
      <c r="C405" s="7"/>
      <c r="D405" s="4"/>
      <c r="E405" s="7"/>
      <c r="F405" s="4"/>
      <c r="G405" s="4"/>
      <c r="H405" s="3"/>
      <c r="P405" s="10"/>
      <c r="Q405" s="10"/>
      <c r="R405" s="11"/>
      <c r="S405" s="11"/>
    </row>
    <row r="406" spans="1:19">
      <c r="A406" s="5"/>
      <c r="B406" s="3"/>
      <c r="C406" s="7"/>
      <c r="D406" s="4"/>
      <c r="E406" s="7"/>
      <c r="F406" s="3"/>
      <c r="G406" s="4"/>
      <c r="H406" s="3"/>
      <c r="P406" s="10"/>
      <c r="Q406" s="10"/>
      <c r="R406" s="11"/>
      <c r="S406" s="11"/>
    </row>
    <row r="407" spans="1:19">
      <c r="A407" s="5"/>
      <c r="B407" s="3"/>
      <c r="C407" s="7"/>
      <c r="D407" s="4"/>
      <c r="E407" s="7"/>
      <c r="F407" s="3"/>
      <c r="G407" s="4"/>
      <c r="H407" s="3"/>
      <c r="P407" s="10"/>
      <c r="Q407" s="10"/>
      <c r="R407" s="11"/>
      <c r="S407" s="11"/>
    </row>
    <row r="408" spans="1:19">
      <c r="A408" s="5"/>
      <c r="B408" s="3"/>
      <c r="C408" s="7"/>
      <c r="D408" s="4"/>
      <c r="E408" s="7"/>
      <c r="F408" s="3"/>
      <c r="G408" s="4"/>
      <c r="H408" s="3"/>
      <c r="P408" s="10"/>
      <c r="Q408" s="10"/>
      <c r="R408" s="11"/>
      <c r="S408" s="11"/>
    </row>
    <row r="409" spans="1:19">
      <c r="A409" s="5"/>
      <c r="B409" s="3"/>
      <c r="C409" s="7"/>
      <c r="D409" s="4"/>
      <c r="E409" s="7"/>
      <c r="F409" s="3"/>
      <c r="G409" s="4"/>
      <c r="H409" s="3"/>
      <c r="P409" s="10"/>
      <c r="Q409" s="10"/>
      <c r="R409" s="11"/>
      <c r="S409" s="11"/>
    </row>
    <row r="410" spans="1:19">
      <c r="A410" s="5"/>
      <c r="B410" s="3"/>
      <c r="C410" s="7"/>
      <c r="D410" s="4"/>
      <c r="E410" s="7"/>
      <c r="F410" s="3"/>
      <c r="G410" s="4"/>
      <c r="H410" s="3"/>
      <c r="P410" s="10"/>
      <c r="Q410" s="10"/>
      <c r="R410" s="11"/>
      <c r="S410" s="11"/>
    </row>
    <row r="411" spans="1:19">
      <c r="A411" s="5"/>
      <c r="B411" s="3"/>
      <c r="C411" s="7"/>
      <c r="D411" s="4"/>
      <c r="E411" s="7"/>
      <c r="F411" s="3"/>
      <c r="G411" s="4"/>
      <c r="H411" s="3"/>
      <c r="P411" s="10"/>
      <c r="Q411" s="10"/>
      <c r="R411" s="11"/>
      <c r="S411" s="11"/>
    </row>
    <row r="412" spans="1:19">
      <c r="A412" s="5"/>
      <c r="B412" s="3"/>
      <c r="C412" s="7"/>
      <c r="D412" s="4"/>
      <c r="E412" s="7"/>
      <c r="F412" s="3"/>
      <c r="G412" s="4"/>
      <c r="H412" s="3"/>
      <c r="P412" s="10"/>
      <c r="Q412" s="10"/>
      <c r="R412" s="11"/>
      <c r="S412" s="11"/>
    </row>
    <row r="413" spans="1:19">
      <c r="A413" s="5"/>
      <c r="B413" s="3"/>
      <c r="C413" s="7"/>
      <c r="D413" s="4"/>
      <c r="E413" s="7"/>
      <c r="F413" s="3"/>
      <c r="G413" s="4"/>
      <c r="H413" s="3"/>
      <c r="P413" s="10"/>
      <c r="Q413" s="10"/>
      <c r="R413" s="11"/>
      <c r="S413" s="11"/>
    </row>
    <row r="414" spans="1:19">
      <c r="A414" s="5"/>
      <c r="B414" s="3"/>
      <c r="C414" s="7"/>
      <c r="D414" s="4"/>
      <c r="E414" s="7"/>
      <c r="F414" s="3"/>
      <c r="G414" s="4"/>
      <c r="H414" s="3"/>
      <c r="P414" s="10"/>
      <c r="Q414" s="10"/>
      <c r="R414" s="11"/>
      <c r="S414" s="11"/>
    </row>
    <row r="415" spans="1:19">
      <c r="A415" s="5"/>
      <c r="B415" s="3"/>
      <c r="C415" s="7"/>
      <c r="D415" s="4"/>
      <c r="E415" s="7"/>
      <c r="F415" s="3"/>
      <c r="G415" s="4"/>
      <c r="H415" s="3"/>
      <c r="P415" s="10"/>
      <c r="Q415" s="10"/>
      <c r="R415" s="11"/>
      <c r="S415" s="11"/>
    </row>
    <row r="416" spans="1:19">
      <c r="A416" s="5"/>
      <c r="B416" s="3"/>
      <c r="C416" s="7"/>
      <c r="D416" s="4"/>
      <c r="E416" s="7"/>
      <c r="F416" s="3"/>
      <c r="G416" s="4"/>
      <c r="H416" s="3"/>
      <c r="P416" s="10"/>
      <c r="Q416" s="10"/>
      <c r="R416" s="11"/>
      <c r="S416" s="11"/>
    </row>
    <row r="417" spans="1:19">
      <c r="A417" s="5"/>
      <c r="B417" s="3"/>
      <c r="C417" s="7"/>
      <c r="D417" s="4"/>
      <c r="E417" s="7"/>
      <c r="F417" s="3"/>
      <c r="G417" s="4"/>
      <c r="H417" s="3"/>
      <c r="P417" s="10"/>
      <c r="Q417" s="10"/>
      <c r="R417" s="11"/>
      <c r="S417" s="11"/>
    </row>
    <row r="418" spans="1:19">
      <c r="A418" s="5"/>
      <c r="B418" s="3"/>
      <c r="C418" s="7"/>
      <c r="D418" s="4"/>
      <c r="E418" s="7"/>
      <c r="F418" s="3"/>
      <c r="G418" s="4"/>
      <c r="H418" s="3"/>
      <c r="P418" s="10"/>
      <c r="Q418" s="10"/>
      <c r="R418" s="11"/>
      <c r="S418" s="11"/>
    </row>
    <row r="419" spans="1:19">
      <c r="A419" s="5"/>
      <c r="B419" s="3"/>
      <c r="C419" s="7"/>
      <c r="D419" s="4"/>
      <c r="E419" s="7"/>
      <c r="F419" s="3"/>
      <c r="G419" s="4"/>
      <c r="H419" s="3"/>
      <c r="P419" s="10"/>
      <c r="Q419" s="10"/>
      <c r="R419" s="11"/>
      <c r="S419" s="11"/>
    </row>
    <row r="420" spans="1:19">
      <c r="A420" s="5"/>
      <c r="B420" s="3"/>
      <c r="C420" s="7"/>
      <c r="D420" s="4"/>
      <c r="E420" s="7"/>
      <c r="F420" s="3"/>
      <c r="G420" s="4"/>
      <c r="H420" s="3"/>
      <c r="P420" s="10"/>
      <c r="Q420" s="10"/>
      <c r="R420" s="11"/>
      <c r="S420" s="11"/>
    </row>
    <row r="421" spans="1:19">
      <c r="A421" s="5"/>
      <c r="B421" s="3"/>
      <c r="C421" s="7"/>
      <c r="D421" s="4"/>
      <c r="E421" s="7"/>
      <c r="F421" s="3"/>
      <c r="G421" s="4"/>
      <c r="H421" s="3"/>
      <c r="P421" s="10"/>
      <c r="Q421" s="10"/>
      <c r="R421" s="11"/>
      <c r="S421" s="11"/>
    </row>
    <row r="422" spans="1:19">
      <c r="A422" s="5"/>
      <c r="B422" s="3"/>
      <c r="C422" s="7"/>
      <c r="D422" s="4"/>
      <c r="E422" s="7"/>
      <c r="F422" s="3"/>
      <c r="G422" s="4"/>
      <c r="H422" s="3"/>
      <c r="P422" s="10"/>
      <c r="Q422" s="10"/>
      <c r="R422" s="11"/>
      <c r="S422" s="11"/>
    </row>
    <row r="423" spans="1:19">
      <c r="A423" s="5"/>
      <c r="B423" s="3"/>
      <c r="C423" s="7"/>
      <c r="D423" s="4"/>
      <c r="E423" s="7"/>
      <c r="F423" s="3"/>
      <c r="G423" s="4"/>
      <c r="H423" s="3"/>
      <c r="P423" s="10"/>
      <c r="Q423" s="10"/>
      <c r="R423" s="11"/>
      <c r="S423" s="11"/>
    </row>
    <row r="424" spans="1:19">
      <c r="A424" s="5"/>
      <c r="B424" s="3"/>
      <c r="C424" s="7"/>
      <c r="D424" s="4"/>
      <c r="E424" s="7"/>
      <c r="F424" s="3"/>
      <c r="G424" s="4"/>
      <c r="H424" s="3"/>
      <c r="P424" s="10"/>
      <c r="Q424" s="10"/>
      <c r="R424" s="11"/>
      <c r="S424" s="11"/>
    </row>
    <row r="425" spans="1:19">
      <c r="A425" s="5"/>
      <c r="B425" s="3"/>
      <c r="C425" s="7"/>
      <c r="D425" s="4"/>
      <c r="E425" s="7"/>
      <c r="F425" s="3"/>
      <c r="G425" s="4"/>
      <c r="H425" s="3"/>
      <c r="P425" s="10"/>
      <c r="Q425" s="10"/>
      <c r="R425" s="11"/>
      <c r="S425" s="11"/>
    </row>
    <row r="426" spans="1:19">
      <c r="A426" s="5"/>
      <c r="B426" s="3"/>
      <c r="C426" s="7"/>
      <c r="D426" s="4"/>
      <c r="E426" s="7"/>
      <c r="F426" s="3"/>
      <c r="G426" s="4"/>
      <c r="H426" s="3"/>
      <c r="P426" s="10"/>
      <c r="Q426" s="10"/>
      <c r="R426" s="11"/>
      <c r="S426" s="11"/>
    </row>
    <row r="427" spans="1:19">
      <c r="A427" s="5"/>
      <c r="B427" s="3"/>
      <c r="C427" s="7"/>
      <c r="D427" s="4"/>
      <c r="E427" s="7"/>
      <c r="F427" s="3"/>
      <c r="G427" s="4"/>
      <c r="H427" s="3"/>
      <c r="P427" s="10"/>
      <c r="Q427" s="10"/>
      <c r="R427" s="11"/>
      <c r="S427" s="11"/>
    </row>
    <row r="428" spans="1:19">
      <c r="A428" s="5"/>
      <c r="B428" s="3"/>
      <c r="C428" s="7"/>
      <c r="D428" s="4"/>
      <c r="E428" s="7"/>
      <c r="F428" s="3"/>
      <c r="G428" s="4"/>
      <c r="H428" s="3"/>
      <c r="P428" s="10"/>
      <c r="Q428" s="10"/>
      <c r="R428" s="11"/>
      <c r="S428" s="11"/>
    </row>
    <row r="429" spans="1:19">
      <c r="A429" s="5"/>
      <c r="B429" s="3"/>
      <c r="C429" s="7"/>
      <c r="D429" s="4"/>
      <c r="E429" s="7"/>
      <c r="F429" s="3"/>
      <c r="G429" s="4"/>
      <c r="H429" s="3"/>
      <c r="P429" s="10"/>
      <c r="Q429" s="10"/>
      <c r="R429" s="11"/>
      <c r="S429" s="11"/>
    </row>
    <row r="430" spans="1:19">
      <c r="A430" s="5"/>
      <c r="B430" s="3"/>
      <c r="C430" s="7"/>
      <c r="D430" s="4"/>
      <c r="E430" s="7"/>
      <c r="F430" s="3"/>
      <c r="G430" s="4"/>
      <c r="H430" s="3"/>
      <c r="P430" s="10"/>
      <c r="Q430" s="10"/>
      <c r="R430" s="11"/>
      <c r="S430" s="11"/>
    </row>
    <row r="431" spans="1:19">
      <c r="A431" s="5"/>
      <c r="B431" s="3"/>
      <c r="C431" s="7"/>
      <c r="D431" s="4"/>
      <c r="E431" s="7"/>
      <c r="F431" s="3"/>
      <c r="G431" s="4"/>
      <c r="H431" s="3"/>
      <c r="P431" s="10"/>
      <c r="Q431" s="10"/>
      <c r="R431" s="11"/>
      <c r="S431" s="11"/>
    </row>
    <row r="432" spans="1:19">
      <c r="A432" s="5"/>
      <c r="B432" s="3"/>
      <c r="C432" s="7"/>
      <c r="D432" s="4"/>
      <c r="E432" s="7"/>
      <c r="F432" s="3"/>
      <c r="G432" s="4"/>
      <c r="H432" s="3"/>
      <c r="P432" s="10"/>
      <c r="Q432" s="10"/>
      <c r="R432" s="11"/>
      <c r="S432" s="11"/>
    </row>
    <row r="433" spans="1:19">
      <c r="A433" s="5"/>
      <c r="B433" s="3"/>
      <c r="C433" s="7"/>
      <c r="D433" s="4"/>
      <c r="E433" s="7"/>
      <c r="F433" s="3"/>
      <c r="G433" s="4"/>
      <c r="H433" s="3"/>
      <c r="P433" s="10"/>
      <c r="Q433" s="10"/>
      <c r="R433" s="11"/>
      <c r="S433" s="11"/>
    </row>
    <row r="434" spans="1:19">
      <c r="A434" s="5"/>
      <c r="B434" s="3"/>
      <c r="C434" s="7"/>
      <c r="D434" s="4"/>
      <c r="E434" s="7"/>
      <c r="F434" s="3"/>
      <c r="G434" s="4"/>
      <c r="H434" s="3"/>
      <c r="P434" s="10"/>
      <c r="Q434" s="10"/>
      <c r="R434" s="11"/>
      <c r="S434" s="11"/>
    </row>
    <row r="435" spans="1:19">
      <c r="A435" s="5"/>
      <c r="B435" s="3"/>
      <c r="C435" s="7"/>
      <c r="D435" s="4"/>
      <c r="E435" s="7"/>
      <c r="F435" s="3"/>
      <c r="G435" s="4"/>
      <c r="H435" s="3"/>
      <c r="P435" s="10"/>
      <c r="Q435" s="10"/>
      <c r="R435" s="11"/>
      <c r="S435" s="11"/>
    </row>
    <row r="436" spans="1:19">
      <c r="A436" s="5"/>
      <c r="B436" s="3"/>
      <c r="C436" s="7"/>
      <c r="D436" s="4"/>
      <c r="E436" s="7"/>
      <c r="F436" s="3"/>
      <c r="G436" s="4"/>
      <c r="H436" s="3"/>
      <c r="P436" s="10"/>
      <c r="Q436" s="10"/>
      <c r="R436" s="11"/>
      <c r="S436" s="11"/>
    </row>
    <row r="437" spans="1:19">
      <c r="A437" s="5"/>
      <c r="B437" s="3"/>
      <c r="C437" s="7"/>
      <c r="D437" s="4"/>
      <c r="E437" s="7"/>
      <c r="F437" s="3"/>
      <c r="G437" s="4"/>
      <c r="H437" s="3"/>
      <c r="P437" s="10"/>
      <c r="Q437" s="10"/>
      <c r="R437" s="11"/>
      <c r="S437" s="11"/>
    </row>
    <row r="438" spans="1:19">
      <c r="A438" s="5"/>
      <c r="B438" s="3"/>
      <c r="C438" s="7"/>
      <c r="D438" s="4"/>
      <c r="E438" s="7"/>
      <c r="F438" s="3"/>
      <c r="G438" s="4"/>
      <c r="H438" s="3"/>
      <c r="P438" s="10"/>
      <c r="Q438" s="10"/>
      <c r="R438" s="11"/>
      <c r="S438" s="11"/>
    </row>
    <row r="439" spans="1:19">
      <c r="A439" s="5"/>
      <c r="B439" s="3"/>
      <c r="C439" s="7"/>
      <c r="D439" s="4"/>
      <c r="E439" s="7"/>
      <c r="F439" s="3"/>
      <c r="G439" s="4"/>
      <c r="H439" s="3"/>
      <c r="P439" s="10"/>
      <c r="Q439" s="10"/>
      <c r="R439" s="11"/>
      <c r="S439" s="11"/>
    </row>
    <row r="440" spans="1:19">
      <c r="A440" s="5"/>
      <c r="B440" s="3"/>
      <c r="C440" s="7"/>
      <c r="D440" s="4"/>
      <c r="E440" s="7"/>
      <c r="F440" s="3"/>
      <c r="G440" s="4"/>
      <c r="H440" s="3"/>
      <c r="P440" s="10"/>
      <c r="Q440" s="10"/>
      <c r="R440" s="11"/>
      <c r="S440" s="11"/>
    </row>
    <row r="441" spans="1:19">
      <c r="A441" s="5"/>
      <c r="B441" s="3"/>
      <c r="C441" s="7"/>
      <c r="D441" s="4"/>
      <c r="E441" s="7"/>
      <c r="F441" s="3"/>
      <c r="G441" s="4"/>
      <c r="H441" s="3"/>
      <c r="P441" s="10"/>
      <c r="Q441" s="10"/>
      <c r="R441" s="11"/>
      <c r="S441" s="11"/>
    </row>
    <row r="442" spans="1:19">
      <c r="A442" s="5"/>
      <c r="B442" s="3"/>
      <c r="C442" s="7"/>
      <c r="D442" s="4"/>
      <c r="E442" s="7"/>
      <c r="F442" s="3"/>
      <c r="G442" s="4"/>
      <c r="H442" s="3"/>
      <c r="P442" s="10"/>
      <c r="Q442" s="10"/>
      <c r="R442" s="11"/>
      <c r="S442" s="11"/>
    </row>
    <row r="443" spans="1:19">
      <c r="A443" s="5"/>
      <c r="B443" s="3"/>
      <c r="C443" s="7"/>
      <c r="D443" s="4"/>
      <c r="E443" s="7"/>
      <c r="F443" s="3"/>
      <c r="G443" s="4"/>
      <c r="H443" s="3"/>
      <c r="P443" s="10"/>
      <c r="Q443" s="10"/>
      <c r="R443" s="11"/>
      <c r="S443" s="11"/>
    </row>
    <row r="444" spans="1:19">
      <c r="A444" s="5"/>
      <c r="B444" s="3"/>
      <c r="C444" s="7"/>
      <c r="D444" s="4"/>
      <c r="E444" s="7"/>
      <c r="F444" s="3"/>
      <c r="G444" s="4"/>
      <c r="H444" s="3"/>
      <c r="P444" s="10"/>
      <c r="Q444" s="10"/>
      <c r="R444" s="11"/>
      <c r="S444" s="11"/>
    </row>
    <row r="445" spans="1:19">
      <c r="A445" s="5"/>
      <c r="B445" s="3"/>
      <c r="C445" s="7"/>
      <c r="D445" s="4"/>
      <c r="E445" s="7"/>
      <c r="F445" s="3"/>
      <c r="G445" s="4"/>
      <c r="H445" s="3"/>
      <c r="P445" s="10"/>
      <c r="Q445" s="10"/>
      <c r="R445" s="11"/>
      <c r="S445" s="11"/>
    </row>
    <row r="446" spans="1:19">
      <c r="A446" s="5"/>
      <c r="B446" s="3"/>
      <c r="C446" s="7"/>
      <c r="D446" s="4"/>
      <c r="E446" s="7"/>
      <c r="F446" s="3"/>
      <c r="G446" s="4"/>
      <c r="H446" s="3"/>
      <c r="P446" s="10"/>
      <c r="Q446" s="10"/>
      <c r="R446" s="11"/>
      <c r="S446" s="11"/>
    </row>
    <row r="447" spans="1:19">
      <c r="A447" s="5"/>
      <c r="B447" s="3"/>
      <c r="C447" s="7"/>
      <c r="D447" s="4"/>
      <c r="E447" s="7"/>
      <c r="F447" s="3"/>
      <c r="G447" s="4"/>
      <c r="H447" s="3"/>
      <c r="P447" s="10"/>
      <c r="Q447" s="10"/>
      <c r="R447" s="11"/>
      <c r="S447" s="11"/>
    </row>
    <row r="448" spans="1:19">
      <c r="A448" s="5"/>
      <c r="B448" s="3"/>
      <c r="C448" s="7"/>
      <c r="D448" s="4"/>
      <c r="E448" s="7"/>
      <c r="F448" s="3"/>
      <c r="G448" s="4"/>
      <c r="H448" s="3"/>
      <c r="P448" s="10"/>
      <c r="Q448" s="10"/>
      <c r="R448" s="11"/>
      <c r="S448" s="11"/>
    </row>
    <row r="449" spans="1:19">
      <c r="A449" s="5"/>
      <c r="B449" s="3"/>
      <c r="C449" s="7"/>
      <c r="D449" s="4"/>
      <c r="E449" s="7"/>
      <c r="F449" s="3"/>
      <c r="G449" s="4"/>
      <c r="H449" s="3"/>
      <c r="P449" s="10"/>
      <c r="Q449" s="10"/>
      <c r="R449" s="11"/>
      <c r="S449" s="11"/>
    </row>
    <row r="450" spans="1:19">
      <c r="A450" s="5"/>
      <c r="B450" s="3"/>
      <c r="C450" s="7"/>
      <c r="D450" s="4"/>
      <c r="E450" s="7"/>
      <c r="F450" s="3"/>
      <c r="G450" s="4"/>
      <c r="H450" s="3"/>
      <c r="P450" s="10"/>
      <c r="Q450" s="10"/>
      <c r="R450" s="11"/>
      <c r="S450" s="11"/>
    </row>
    <row r="451" spans="1:19">
      <c r="A451" s="5"/>
      <c r="B451" s="3"/>
      <c r="C451" s="7"/>
      <c r="D451" s="4"/>
      <c r="E451" s="7"/>
      <c r="F451" s="3"/>
      <c r="G451" s="4"/>
      <c r="H451" s="3"/>
      <c r="P451" s="10"/>
      <c r="Q451" s="10"/>
      <c r="R451" s="11"/>
      <c r="S451" s="11"/>
    </row>
    <row r="452" spans="1:19">
      <c r="A452" s="5"/>
      <c r="B452" s="3"/>
      <c r="C452" s="7"/>
      <c r="D452" s="4"/>
      <c r="E452" s="7"/>
      <c r="F452" s="3"/>
      <c r="G452" s="4"/>
      <c r="H452" s="3"/>
      <c r="P452" s="10"/>
      <c r="Q452" s="10"/>
      <c r="R452" s="11"/>
      <c r="S452" s="11"/>
    </row>
    <row r="453" spans="1:19">
      <c r="A453" s="5"/>
      <c r="B453" s="3"/>
      <c r="C453" s="7"/>
      <c r="D453" s="4"/>
      <c r="E453" s="7"/>
      <c r="F453" s="3"/>
      <c r="G453" s="4"/>
      <c r="H453" s="3"/>
      <c r="P453" s="10"/>
      <c r="Q453" s="10"/>
      <c r="R453" s="11"/>
      <c r="S453" s="11"/>
    </row>
    <row r="454" spans="1:19">
      <c r="A454" s="5"/>
      <c r="B454" s="3"/>
      <c r="C454" s="7"/>
      <c r="D454" s="4"/>
      <c r="E454" s="7"/>
      <c r="F454" s="3"/>
      <c r="G454" s="4"/>
      <c r="H454" s="3"/>
      <c r="P454" s="10"/>
      <c r="Q454" s="10"/>
      <c r="R454" s="11"/>
      <c r="S454" s="11"/>
    </row>
    <row r="455" spans="1:19">
      <c r="A455" s="5"/>
      <c r="B455" s="3"/>
      <c r="C455" s="7"/>
      <c r="D455" s="4"/>
      <c r="E455" s="7"/>
      <c r="F455" s="3"/>
      <c r="G455" s="4"/>
      <c r="H455" s="3"/>
      <c r="P455" s="10"/>
      <c r="Q455" s="10"/>
      <c r="R455" s="11"/>
      <c r="S455" s="11"/>
    </row>
    <row r="456" spans="1:19">
      <c r="A456" s="5"/>
      <c r="B456" s="3"/>
      <c r="C456" s="7"/>
      <c r="D456" s="4"/>
      <c r="E456" s="7"/>
      <c r="F456" s="3"/>
      <c r="G456" s="4"/>
      <c r="H456" s="3"/>
      <c r="P456" s="10"/>
      <c r="Q456" s="10"/>
      <c r="R456" s="11"/>
      <c r="S456" s="11"/>
    </row>
    <row r="457" spans="1:19">
      <c r="A457" s="5"/>
      <c r="B457" s="3"/>
      <c r="C457" s="7"/>
      <c r="D457" s="4"/>
      <c r="E457" s="7"/>
      <c r="F457" s="3"/>
      <c r="G457" s="4"/>
      <c r="H457" s="3"/>
      <c r="P457" s="10"/>
      <c r="Q457" s="10"/>
      <c r="R457" s="11"/>
      <c r="S457" s="11"/>
    </row>
    <row r="458" spans="1:19">
      <c r="A458" s="5"/>
      <c r="B458" s="3"/>
      <c r="C458" s="7"/>
      <c r="D458" s="4"/>
      <c r="E458" s="7"/>
      <c r="F458" s="3"/>
      <c r="G458" s="4"/>
      <c r="H458" s="3"/>
      <c r="P458" s="10"/>
      <c r="Q458" s="10"/>
      <c r="R458" s="11"/>
      <c r="S458" s="11"/>
    </row>
    <row r="459" spans="1:19">
      <c r="A459" s="5"/>
      <c r="B459" s="3"/>
      <c r="C459" s="7"/>
      <c r="D459" s="4"/>
      <c r="E459" s="7"/>
      <c r="F459" s="3"/>
      <c r="G459" s="4"/>
      <c r="H459" s="3"/>
      <c r="P459" s="10"/>
      <c r="Q459" s="10"/>
      <c r="R459" s="11"/>
      <c r="S459" s="11"/>
    </row>
    <row r="460" spans="1:19">
      <c r="A460" s="5"/>
      <c r="B460" s="3"/>
      <c r="C460" s="7"/>
      <c r="D460" s="4"/>
      <c r="E460" s="7"/>
      <c r="F460" s="3"/>
      <c r="G460" s="4"/>
      <c r="H460" s="3"/>
      <c r="P460" s="10"/>
      <c r="Q460" s="10"/>
      <c r="R460" s="11"/>
      <c r="S460" s="11"/>
    </row>
    <row r="461" spans="1:19">
      <c r="A461" s="5"/>
      <c r="B461" s="3"/>
      <c r="C461" s="7"/>
      <c r="D461" s="4"/>
      <c r="E461" s="7"/>
      <c r="F461" s="3"/>
      <c r="G461" s="4"/>
      <c r="H461" s="3"/>
      <c r="P461" s="10"/>
      <c r="Q461" s="10"/>
      <c r="R461" s="11"/>
      <c r="S461" s="11"/>
    </row>
    <row r="462" spans="1:19">
      <c r="A462" s="5"/>
      <c r="B462" s="3"/>
      <c r="C462" s="7"/>
      <c r="D462" s="4"/>
      <c r="E462" s="7"/>
      <c r="F462" s="3"/>
      <c r="G462" s="4"/>
      <c r="H462" s="3"/>
      <c r="P462" s="10"/>
      <c r="Q462" s="10"/>
      <c r="R462" s="11"/>
      <c r="S462" s="11"/>
    </row>
    <row r="463" spans="1:19">
      <c r="A463" s="5"/>
      <c r="B463" s="3"/>
      <c r="C463" s="7"/>
      <c r="D463" s="4"/>
      <c r="E463" s="7"/>
      <c r="F463" s="3"/>
      <c r="G463" s="4"/>
      <c r="H463" s="3"/>
      <c r="P463" s="10"/>
      <c r="Q463" s="10"/>
      <c r="R463" s="11"/>
      <c r="S463" s="11"/>
    </row>
    <row r="464" spans="1:19">
      <c r="A464" s="5"/>
      <c r="B464" s="3"/>
      <c r="C464" s="7"/>
      <c r="D464" s="4"/>
      <c r="E464" s="7"/>
      <c r="F464" s="3"/>
      <c r="G464" s="4"/>
      <c r="H464" s="3"/>
      <c r="P464" s="10"/>
      <c r="Q464" s="10"/>
      <c r="R464" s="11"/>
      <c r="S464" s="11"/>
    </row>
    <row r="465" spans="1:19">
      <c r="A465" s="5"/>
      <c r="B465" s="3"/>
      <c r="C465" s="7"/>
      <c r="D465" s="4"/>
      <c r="E465" s="7"/>
      <c r="F465" s="3"/>
      <c r="G465" s="4"/>
      <c r="H465" s="3"/>
      <c r="L465" s="13"/>
      <c r="M465"/>
      <c r="N465"/>
      <c r="O465"/>
      <c r="P465" s="10"/>
      <c r="Q465" s="10"/>
      <c r="R465" s="11"/>
      <c r="S465" s="11"/>
    </row>
    <row r="466" spans="1:19">
      <c r="A466" s="5"/>
      <c r="B466" s="3"/>
      <c r="C466" s="7"/>
      <c r="D466" s="4"/>
      <c r="E466" s="7"/>
      <c r="F466" s="3"/>
      <c r="G466" s="4"/>
      <c r="H466" s="3"/>
      <c r="P466" s="10"/>
      <c r="Q466" s="10"/>
      <c r="R466" s="11"/>
      <c r="S466" s="11"/>
    </row>
    <row r="467" spans="1:19">
      <c r="A467" s="5"/>
      <c r="B467" s="3"/>
      <c r="C467" s="7"/>
      <c r="D467" s="4"/>
      <c r="E467" s="7"/>
      <c r="F467" s="3"/>
      <c r="G467" s="4"/>
      <c r="H467" s="3"/>
      <c r="P467" s="10"/>
      <c r="Q467" s="10"/>
      <c r="R467" s="11"/>
      <c r="S467" s="11"/>
    </row>
    <row r="468" spans="1:19">
      <c r="A468" s="5"/>
      <c r="B468" s="3"/>
      <c r="C468" s="7"/>
      <c r="D468" s="4"/>
      <c r="E468" s="7"/>
      <c r="F468" s="3"/>
      <c r="G468" s="4"/>
      <c r="H468" s="3"/>
      <c r="P468" s="10"/>
      <c r="Q468" s="10"/>
      <c r="R468" s="11"/>
      <c r="S468" s="11"/>
    </row>
    <row r="469" spans="1:19">
      <c r="A469" s="5"/>
      <c r="B469" s="3"/>
      <c r="C469" s="7"/>
      <c r="D469" s="4"/>
      <c r="E469" s="7"/>
      <c r="F469" s="3"/>
      <c r="G469" s="4"/>
      <c r="H469" s="3"/>
      <c r="P469" s="10"/>
      <c r="Q469" s="10"/>
      <c r="R469" s="11"/>
      <c r="S469" s="11"/>
    </row>
    <row r="470" spans="1:19">
      <c r="A470" s="5"/>
      <c r="B470" s="3"/>
      <c r="C470" s="7"/>
      <c r="D470" s="4"/>
      <c r="E470" s="7"/>
      <c r="F470" s="3"/>
      <c r="G470" s="4"/>
      <c r="H470" s="3"/>
      <c r="P470" s="10"/>
      <c r="Q470" s="10"/>
      <c r="R470" s="11"/>
      <c r="S470" s="11"/>
    </row>
    <row r="471" spans="1:19">
      <c r="A471" s="5"/>
      <c r="B471" s="3"/>
      <c r="C471" s="7"/>
      <c r="D471" s="4"/>
      <c r="E471" s="7"/>
      <c r="F471" s="3"/>
      <c r="G471" s="4"/>
      <c r="H471" s="3"/>
      <c r="P471" s="10"/>
      <c r="Q471" s="10"/>
      <c r="R471" s="11"/>
      <c r="S471" s="11"/>
    </row>
    <row r="472" spans="1:19">
      <c r="A472" s="5"/>
      <c r="B472" s="3"/>
      <c r="C472" s="7"/>
      <c r="D472" s="4"/>
      <c r="E472" s="7"/>
      <c r="F472" s="3"/>
      <c r="G472" s="4"/>
      <c r="H472" s="3"/>
      <c r="P472" s="10"/>
      <c r="Q472" s="10"/>
      <c r="R472" s="11"/>
      <c r="S472" s="11"/>
    </row>
    <row r="473" spans="1:19">
      <c r="A473" s="5"/>
      <c r="B473" s="3"/>
      <c r="C473" s="7"/>
      <c r="D473" s="4"/>
      <c r="E473" s="7"/>
      <c r="F473" s="3"/>
      <c r="G473" s="4"/>
      <c r="H473" s="3"/>
      <c r="P473" s="10"/>
      <c r="Q473" s="10"/>
      <c r="R473" s="11"/>
      <c r="S473" s="11"/>
    </row>
    <row r="474" spans="1:19">
      <c r="A474" s="5"/>
      <c r="B474" s="3"/>
      <c r="C474" s="7"/>
      <c r="D474" s="4"/>
      <c r="E474" s="7"/>
      <c r="F474" s="3"/>
      <c r="G474" s="4"/>
      <c r="H474" s="3"/>
      <c r="P474" s="10"/>
      <c r="Q474" s="10"/>
      <c r="R474" s="11"/>
      <c r="S474" s="11"/>
    </row>
    <row r="475" spans="1:19">
      <c r="A475" s="5"/>
      <c r="B475" s="3"/>
      <c r="C475" s="7"/>
      <c r="D475" s="4"/>
      <c r="E475" s="7"/>
      <c r="F475" s="3"/>
      <c r="G475" s="4"/>
      <c r="H475" s="3"/>
      <c r="P475" s="10"/>
      <c r="Q475" s="10"/>
      <c r="R475" s="11"/>
      <c r="S475" s="11"/>
    </row>
    <row r="476" spans="1:19">
      <c r="A476" s="5"/>
      <c r="B476" s="3"/>
      <c r="C476" s="7"/>
      <c r="D476" s="4"/>
      <c r="E476" s="7"/>
      <c r="F476" s="3"/>
      <c r="G476" s="4"/>
      <c r="H476" s="3"/>
      <c r="P476" s="10"/>
      <c r="Q476" s="10"/>
      <c r="R476" s="11"/>
      <c r="S476" s="11"/>
    </row>
    <row r="477" spans="1:19">
      <c r="A477" s="5"/>
      <c r="B477" s="3"/>
      <c r="C477" s="7"/>
      <c r="D477" s="4"/>
      <c r="E477" s="7"/>
      <c r="F477" s="3"/>
      <c r="G477" s="4"/>
      <c r="H477" s="3"/>
      <c r="P477" s="10"/>
      <c r="Q477" s="10"/>
      <c r="R477" s="11"/>
      <c r="S477" s="11"/>
    </row>
    <row r="478" spans="1:19">
      <c r="A478" s="5"/>
      <c r="B478" s="3"/>
      <c r="C478" s="7"/>
      <c r="D478" s="4"/>
      <c r="E478" s="7"/>
      <c r="F478" s="3"/>
      <c r="G478" s="4"/>
      <c r="H478" s="3"/>
      <c r="P478" s="10"/>
      <c r="Q478" s="10"/>
      <c r="R478" s="11"/>
      <c r="S478" s="11"/>
    </row>
    <row r="479" spans="1:19">
      <c r="A479" s="5"/>
      <c r="B479" s="3"/>
      <c r="C479" s="7"/>
      <c r="D479" s="4"/>
      <c r="E479" s="7"/>
      <c r="F479" s="3"/>
      <c r="G479" s="4"/>
      <c r="H479" s="3"/>
      <c r="P479" s="10"/>
      <c r="Q479" s="10"/>
      <c r="R479" s="11"/>
      <c r="S479" s="11"/>
    </row>
    <row r="480" spans="1:19">
      <c r="A480" s="5"/>
      <c r="B480" s="3"/>
      <c r="C480" s="7"/>
      <c r="D480" s="4"/>
      <c r="E480" s="7"/>
      <c r="F480" s="3"/>
      <c r="G480" s="4"/>
      <c r="H480" s="3"/>
      <c r="P480" s="10"/>
      <c r="Q480" s="10"/>
      <c r="R480" s="11"/>
      <c r="S480" s="11"/>
    </row>
    <row r="481" spans="1:19">
      <c r="A481" s="5"/>
      <c r="B481" s="3"/>
      <c r="C481" s="7"/>
      <c r="D481" s="4"/>
      <c r="E481" s="7"/>
      <c r="F481" s="3"/>
      <c r="G481" s="4"/>
      <c r="H481" s="3"/>
      <c r="P481" s="10"/>
      <c r="Q481" s="10"/>
      <c r="R481" s="11"/>
      <c r="S481" s="11"/>
    </row>
    <row r="482" spans="1:19">
      <c r="A482" s="5"/>
      <c r="B482" s="3"/>
      <c r="C482" s="7"/>
      <c r="D482" s="4"/>
      <c r="E482" s="7"/>
      <c r="F482" s="3"/>
      <c r="G482" s="4"/>
      <c r="H482" s="3"/>
      <c r="P482" s="10"/>
      <c r="Q482" s="10"/>
      <c r="R482" s="11"/>
      <c r="S482" s="11"/>
    </row>
    <row r="483" spans="1:19">
      <c r="A483" s="5"/>
      <c r="B483" s="3"/>
      <c r="C483" s="7"/>
      <c r="D483" s="4"/>
      <c r="E483" s="7"/>
      <c r="F483" s="3"/>
      <c r="G483" s="4"/>
      <c r="H483" s="3"/>
      <c r="P483" s="10"/>
      <c r="Q483" s="10"/>
      <c r="R483" s="11"/>
      <c r="S483" s="11"/>
    </row>
    <row r="484" spans="1:19">
      <c r="A484" s="5"/>
      <c r="B484" s="3"/>
      <c r="C484" s="7"/>
      <c r="D484" s="4"/>
      <c r="E484" s="7"/>
      <c r="F484" s="3"/>
      <c r="G484" s="4"/>
      <c r="H484" s="3"/>
      <c r="P484" s="10"/>
      <c r="Q484" s="10"/>
      <c r="R484" s="11"/>
      <c r="S484" s="11"/>
    </row>
    <row r="485" spans="1:19">
      <c r="A485" s="5"/>
      <c r="B485" s="3"/>
      <c r="C485" s="7"/>
      <c r="D485" s="4"/>
      <c r="E485" s="7"/>
      <c r="F485" s="3"/>
      <c r="G485" s="4"/>
      <c r="H485" s="3"/>
      <c r="P485" s="10"/>
      <c r="Q485" s="10"/>
      <c r="R485" s="11"/>
      <c r="S485" s="11"/>
    </row>
    <row r="486" spans="1:19">
      <c r="A486" s="5"/>
      <c r="B486" s="3"/>
      <c r="C486" s="7"/>
      <c r="D486" s="4"/>
      <c r="E486" s="7"/>
      <c r="F486" s="3"/>
      <c r="G486" s="4"/>
      <c r="H486" s="3"/>
      <c r="P486" s="10"/>
      <c r="Q486" s="10"/>
      <c r="R486" s="11"/>
      <c r="S486" s="11"/>
    </row>
    <row r="487" spans="1:19">
      <c r="A487" s="5"/>
      <c r="B487" s="3"/>
      <c r="C487" s="7"/>
      <c r="D487" s="4"/>
      <c r="E487" s="7"/>
      <c r="F487" s="3"/>
      <c r="G487" s="4"/>
      <c r="H487" s="3"/>
      <c r="P487" s="10"/>
      <c r="Q487" s="10"/>
      <c r="R487" s="11"/>
      <c r="S487" s="11"/>
    </row>
    <row r="488" spans="1:19">
      <c r="A488" s="5"/>
      <c r="B488" s="3"/>
      <c r="C488" s="7"/>
      <c r="D488" s="4"/>
      <c r="E488" s="7"/>
      <c r="F488" s="3"/>
      <c r="G488" s="4"/>
      <c r="H488" s="3"/>
      <c r="P488" s="10"/>
      <c r="Q488" s="10"/>
      <c r="R488" s="11"/>
      <c r="S488" s="11"/>
    </row>
    <row r="489" spans="1:19">
      <c r="A489" s="5"/>
      <c r="B489" s="3"/>
      <c r="C489" s="7"/>
      <c r="D489" s="4"/>
      <c r="E489" s="7"/>
      <c r="F489" s="3"/>
      <c r="G489" s="4"/>
      <c r="H489" s="3"/>
      <c r="P489" s="10"/>
      <c r="Q489" s="10"/>
      <c r="R489" s="11"/>
      <c r="S489" s="11"/>
    </row>
    <row r="490" spans="1:19">
      <c r="A490" s="5"/>
      <c r="B490" s="3"/>
      <c r="C490" s="7"/>
      <c r="D490" s="4"/>
      <c r="E490" s="7"/>
      <c r="F490" s="3"/>
      <c r="G490" s="4"/>
      <c r="H490" s="3"/>
      <c r="P490" s="10"/>
      <c r="Q490" s="10"/>
      <c r="R490" s="11"/>
      <c r="S490" s="11"/>
    </row>
    <row r="491" spans="1:19">
      <c r="A491" s="5"/>
      <c r="B491" s="3"/>
      <c r="C491" s="7"/>
      <c r="D491" s="4"/>
      <c r="E491" s="7"/>
      <c r="F491" s="3"/>
      <c r="G491" s="4"/>
      <c r="H491" s="3"/>
      <c r="P491" s="10"/>
      <c r="Q491" s="10"/>
      <c r="R491" s="11"/>
      <c r="S491" s="11"/>
    </row>
    <row r="492" spans="1:19">
      <c r="A492" s="5"/>
      <c r="B492" s="3"/>
      <c r="C492" s="7"/>
      <c r="D492" s="4"/>
      <c r="E492" s="7"/>
      <c r="F492" s="3"/>
      <c r="G492" s="4"/>
      <c r="H492" s="3"/>
      <c r="P492" s="10"/>
      <c r="Q492" s="10"/>
      <c r="R492" s="11"/>
      <c r="S492" s="11"/>
    </row>
    <row r="493" spans="1:19">
      <c r="A493" s="5"/>
      <c r="B493" s="3"/>
      <c r="C493" s="7"/>
      <c r="D493" s="4"/>
      <c r="E493" s="7"/>
      <c r="F493" s="3"/>
      <c r="G493" s="4"/>
      <c r="H493" s="3"/>
      <c r="P493" s="10"/>
      <c r="Q493" s="10"/>
      <c r="R493" s="11"/>
      <c r="S493" s="11"/>
    </row>
    <row r="494" spans="1:19">
      <c r="A494" s="5"/>
      <c r="B494" s="3"/>
      <c r="C494" s="7"/>
      <c r="D494" s="4"/>
      <c r="E494" s="7"/>
      <c r="F494" s="3"/>
      <c r="G494" s="4"/>
      <c r="H494" s="3"/>
      <c r="P494" s="10"/>
      <c r="Q494" s="10"/>
      <c r="R494" s="11"/>
      <c r="S494" s="11"/>
    </row>
    <row r="495" spans="1:19">
      <c r="A495" s="5"/>
      <c r="B495" s="3"/>
      <c r="C495" s="7"/>
      <c r="D495" s="4"/>
      <c r="E495" s="7"/>
      <c r="F495" s="3"/>
      <c r="G495" s="4"/>
      <c r="H495" s="3"/>
      <c r="P495" s="10"/>
      <c r="Q495" s="10"/>
      <c r="R495" s="11"/>
      <c r="S495" s="11"/>
    </row>
    <row r="496" spans="1:19">
      <c r="A496" s="5"/>
      <c r="B496" s="3"/>
      <c r="C496" s="7"/>
      <c r="D496" s="4"/>
      <c r="E496" s="7"/>
      <c r="F496" s="3"/>
      <c r="G496" s="4"/>
      <c r="H496" s="3"/>
      <c r="P496" s="10"/>
      <c r="Q496" s="10"/>
      <c r="R496" s="11"/>
      <c r="S496" s="11"/>
    </row>
    <row r="497" spans="1:19">
      <c r="A497" s="5"/>
      <c r="B497" s="3"/>
      <c r="C497" s="7"/>
      <c r="D497" s="4"/>
      <c r="E497" s="7"/>
      <c r="F497" s="3"/>
      <c r="G497" s="4"/>
      <c r="H497" s="3"/>
      <c r="P497" s="10"/>
      <c r="Q497" s="10"/>
      <c r="R497" s="11"/>
      <c r="S497" s="11"/>
    </row>
    <row r="498" spans="1:19">
      <c r="A498" s="5"/>
      <c r="B498" s="3"/>
      <c r="C498" s="7"/>
      <c r="D498" s="4"/>
      <c r="E498" s="7"/>
      <c r="F498" s="3"/>
      <c r="G498" s="4"/>
      <c r="H498" s="3"/>
      <c r="P498" s="10"/>
      <c r="Q498" s="10"/>
      <c r="R498" s="11"/>
      <c r="S498" s="11"/>
    </row>
    <row r="499" spans="1:19">
      <c r="A499" s="5"/>
      <c r="B499" s="3"/>
      <c r="C499" s="7"/>
      <c r="D499" s="4"/>
      <c r="E499" s="7"/>
      <c r="F499" s="3"/>
      <c r="G499" s="4"/>
      <c r="H499" s="3"/>
      <c r="P499" s="10"/>
      <c r="Q499" s="10"/>
      <c r="R499" s="11"/>
      <c r="S499" s="11"/>
    </row>
    <row r="500" spans="1:19">
      <c r="A500" s="5"/>
      <c r="B500" s="3"/>
      <c r="C500" s="7"/>
      <c r="D500" s="4"/>
      <c r="E500" s="7"/>
      <c r="F500" s="3"/>
      <c r="G500" s="4"/>
      <c r="H500" s="3"/>
      <c r="P500" s="10"/>
      <c r="Q500" s="10"/>
      <c r="R500" s="11"/>
      <c r="S500" s="11"/>
    </row>
    <row r="501" spans="1:19">
      <c r="A501" s="5"/>
      <c r="B501" s="3"/>
      <c r="C501" s="7"/>
      <c r="D501" s="4"/>
      <c r="E501" s="7"/>
      <c r="F501" s="3"/>
      <c r="G501" s="4"/>
      <c r="H501" s="3"/>
      <c r="P501" s="10"/>
      <c r="Q501" s="10"/>
      <c r="R501" s="11"/>
      <c r="S501" s="11"/>
    </row>
    <row r="502" spans="1:19">
      <c r="A502" s="5"/>
      <c r="B502" s="3"/>
      <c r="C502" s="7"/>
      <c r="D502" s="4"/>
      <c r="E502" s="7"/>
      <c r="F502" s="3"/>
      <c r="G502" s="4"/>
      <c r="H502" s="3"/>
      <c r="P502" s="10"/>
      <c r="Q502" s="10"/>
      <c r="R502" s="11"/>
      <c r="S502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27" sqref="L32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27" sqref="L32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聆听风声1409986788</cp:lastModifiedBy>
  <dcterms:created xsi:type="dcterms:W3CDTF">2023-05-12T11:15:00Z</dcterms:created>
  <dcterms:modified xsi:type="dcterms:W3CDTF">2025-04-14T01:42:57Z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A2A72EFDFDFD4EB49117859E3E77B2E7_13</vt:lpwstr>
  </property>
</Properties>
</file>